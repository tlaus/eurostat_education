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projects\Eurostat\source\"/>
    </mc:Choice>
  </mc:AlternateContent>
  <xr:revisionPtr revIDLastSave="0" documentId="13_ncr:1_{E4D7721D-317E-4F29-A787-A2FE3A44727E}" xr6:coauthVersionLast="36" xr6:coauthVersionMax="36" xr10:uidLastSave="{00000000-0000-0000-0000-000000000000}"/>
  <bookViews>
    <workbookView xWindow="32760" yWindow="34560" windowWidth="10800" windowHeight="4740" firstSheet="1" activeTab="3" xr2:uid="{00000000-000D-0000-FFFF-FFFF00000000}"/>
  </bookViews>
  <sheets>
    <sheet name="General and Vocational _ CZ tre" sheetId="19" r:id="rId1"/>
    <sheet name="Nejnovejsi_po_rocich2" sheetId="21" r:id="rId2"/>
    <sheet name="General vyvoj (2)" sheetId="23" r:id="rId3"/>
    <sheet name="General vyvoj" sheetId="22" r:id="rId4"/>
    <sheet name="Nejnovejsi_po_rocich" sheetId="20" r:id="rId5"/>
    <sheet name="General and Vocational_years" sheetId="18" r:id="rId6"/>
    <sheet name="General and Vocational" sheetId="17" r:id="rId7"/>
    <sheet name="Data" sheetId="1" r:id="rId8"/>
    <sheet name="Data2" sheetId="2" r:id="rId9"/>
    <sheet name="Data3" sheetId="3" r:id="rId10"/>
    <sheet name="Data4" sheetId="4" r:id="rId11"/>
    <sheet name="Data5" sheetId="5" r:id="rId12"/>
    <sheet name="Data6" sheetId="6" r:id="rId13"/>
    <sheet name="Data7" sheetId="7" r:id="rId14"/>
    <sheet name="Data8" sheetId="8" r:id="rId15"/>
    <sheet name="Data9" sheetId="9" r:id="rId16"/>
    <sheet name="Data10" sheetId="10" r:id="rId17"/>
    <sheet name="Data11" sheetId="11" r:id="rId18"/>
    <sheet name="Data12" sheetId="12" r:id="rId19"/>
    <sheet name="Data13" sheetId="13" r:id="rId20"/>
    <sheet name="Data14" sheetId="14" r:id="rId21"/>
    <sheet name="Data15" sheetId="15" r:id="rId22"/>
    <sheet name="Data16" sheetId="16" r:id="rId23"/>
  </sheets>
  <definedNames>
    <definedName name="_xlnm._FilterDatabase" localSheetId="3" hidden="1">'General vyvoj'!$A$1:$D$35</definedName>
  </definedNames>
  <calcPr calcId="191029"/>
</workbook>
</file>

<file path=xl/calcChain.xml><?xml version="1.0" encoding="utf-8"?>
<calcChain xmlns="http://schemas.openxmlformats.org/spreadsheetml/2006/main">
  <c r="D7" i="23" l="1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C8" i="23"/>
  <c r="C9" i="23"/>
  <c r="C7" i="23"/>
  <c r="C2" i="23"/>
  <c r="F142" i="21"/>
  <c r="E142" i="21"/>
  <c r="F141" i="21"/>
  <c r="E141" i="21"/>
  <c r="F140" i="21"/>
  <c r="E140" i="21"/>
  <c r="F139" i="21"/>
  <c r="E139" i="21"/>
  <c r="F138" i="21"/>
  <c r="E138" i="21"/>
  <c r="F137" i="21"/>
  <c r="E137" i="21"/>
  <c r="F136" i="21"/>
  <c r="E136" i="21"/>
  <c r="F135" i="21"/>
  <c r="E135" i="21"/>
  <c r="F134" i="21"/>
  <c r="E134" i="21"/>
  <c r="F133" i="21"/>
  <c r="E133" i="21"/>
  <c r="F132" i="21"/>
  <c r="E132" i="21"/>
  <c r="F131" i="21"/>
  <c r="E131" i="21"/>
  <c r="F130" i="21"/>
  <c r="E130" i="21"/>
  <c r="F129" i="21"/>
  <c r="E129" i="21"/>
  <c r="F128" i="21"/>
  <c r="E128" i="21"/>
  <c r="F127" i="21"/>
  <c r="E127" i="21"/>
  <c r="F126" i="21"/>
  <c r="E126" i="21"/>
  <c r="F125" i="21"/>
  <c r="E125" i="21"/>
  <c r="F124" i="21"/>
  <c r="E124" i="21"/>
  <c r="F123" i="21"/>
  <c r="E123" i="21"/>
  <c r="F122" i="21"/>
  <c r="E122" i="21"/>
  <c r="F121" i="21"/>
  <c r="E121" i="21"/>
  <c r="F120" i="21"/>
  <c r="E120" i="21"/>
  <c r="F119" i="21"/>
  <c r="E119" i="21"/>
  <c r="F118" i="21"/>
  <c r="E118" i="21"/>
  <c r="F117" i="21"/>
  <c r="E117" i="21"/>
  <c r="F116" i="21"/>
  <c r="E116" i="21"/>
  <c r="F115" i="21"/>
  <c r="E115" i="21"/>
  <c r="F114" i="21"/>
  <c r="E114" i="21"/>
  <c r="F113" i="21"/>
  <c r="E113" i="21"/>
  <c r="F112" i="21"/>
  <c r="E112" i="21"/>
  <c r="F111" i="21"/>
  <c r="E111" i="21"/>
  <c r="F110" i="21"/>
  <c r="E110" i="21"/>
  <c r="F84" i="21"/>
  <c r="E84" i="21"/>
  <c r="F83" i="21"/>
  <c r="E83" i="21"/>
  <c r="F82" i="21"/>
  <c r="E82" i="21"/>
  <c r="F81" i="21"/>
  <c r="E81" i="21"/>
  <c r="F80" i="21"/>
  <c r="E80" i="21"/>
  <c r="F79" i="21"/>
  <c r="E79" i="21"/>
  <c r="F78" i="21"/>
  <c r="E78" i="21"/>
  <c r="F77" i="21"/>
  <c r="E77" i="21"/>
  <c r="F76" i="21"/>
  <c r="E76" i="21"/>
  <c r="F75" i="21"/>
  <c r="E75" i="21"/>
  <c r="F74" i="21"/>
  <c r="E74" i="21"/>
  <c r="F73" i="21"/>
  <c r="E73" i="21"/>
  <c r="F72" i="21"/>
  <c r="E72" i="21"/>
  <c r="F71" i="21"/>
  <c r="E71" i="21"/>
  <c r="F70" i="21"/>
  <c r="E70" i="21"/>
  <c r="F69" i="21"/>
  <c r="E69" i="21"/>
  <c r="F68" i="21"/>
  <c r="E68" i="21"/>
  <c r="F67" i="21"/>
  <c r="E67" i="21"/>
  <c r="F66" i="21"/>
  <c r="E66" i="21"/>
  <c r="F65" i="21"/>
  <c r="E65" i="21"/>
  <c r="F64" i="21"/>
  <c r="E64" i="21"/>
  <c r="F63" i="21"/>
  <c r="E63" i="21"/>
  <c r="F62" i="21"/>
  <c r="E62" i="21"/>
  <c r="F61" i="21"/>
  <c r="E61" i="21"/>
  <c r="F60" i="21"/>
  <c r="E60" i="21"/>
  <c r="F59" i="21"/>
  <c r="E59" i="21"/>
  <c r="F58" i="21"/>
  <c r="E58" i="21"/>
  <c r="F57" i="21"/>
  <c r="E57" i="21"/>
  <c r="F56" i="21"/>
  <c r="E56" i="21"/>
  <c r="F55" i="21"/>
  <c r="E55" i="21"/>
  <c r="F54" i="21"/>
  <c r="E54" i="21"/>
  <c r="F47" i="21"/>
  <c r="E47" i="21"/>
  <c r="F46" i="21"/>
  <c r="E46" i="21"/>
  <c r="F45" i="21"/>
  <c r="E45" i="21"/>
  <c r="F44" i="21"/>
  <c r="E44" i="21"/>
  <c r="F43" i="21"/>
  <c r="E43" i="21"/>
  <c r="F42" i="21"/>
  <c r="E42" i="21"/>
  <c r="F41" i="21"/>
  <c r="E41" i="21"/>
  <c r="F40" i="21"/>
  <c r="E40" i="21"/>
  <c r="F39" i="21"/>
  <c r="E39" i="21"/>
  <c r="F38" i="21"/>
  <c r="E38" i="21"/>
  <c r="F37" i="21"/>
  <c r="E37" i="21"/>
  <c r="F36" i="21"/>
  <c r="E36" i="21"/>
  <c r="F35" i="21"/>
  <c r="E35" i="21"/>
  <c r="F34" i="21"/>
  <c r="E34" i="21"/>
  <c r="F33" i="21"/>
  <c r="E33" i="21"/>
  <c r="F32" i="21"/>
  <c r="E32" i="21"/>
  <c r="F31" i="21"/>
  <c r="E31" i="21"/>
  <c r="F30" i="21"/>
  <c r="E30" i="21"/>
  <c r="F29" i="21"/>
  <c r="E29" i="21"/>
  <c r="F28" i="21"/>
  <c r="E28" i="21"/>
  <c r="F27" i="21"/>
  <c r="E27" i="21"/>
  <c r="F26" i="21"/>
  <c r="E26" i="21"/>
  <c r="F25" i="21"/>
  <c r="E25" i="21"/>
  <c r="F24" i="21"/>
  <c r="E24" i="21"/>
  <c r="F23" i="21"/>
  <c r="E23" i="21"/>
  <c r="F22" i="21"/>
  <c r="E22" i="21"/>
  <c r="F21" i="21"/>
  <c r="E21" i="21"/>
  <c r="F20" i="21"/>
  <c r="E20" i="21"/>
  <c r="F19" i="21"/>
  <c r="E19" i="21"/>
  <c r="F18" i="21"/>
  <c r="E18" i="21"/>
  <c r="F17" i="21"/>
  <c r="E17" i="21"/>
  <c r="F16" i="21"/>
  <c r="E16" i="21"/>
  <c r="F15" i="21"/>
  <c r="E15" i="21"/>
  <c r="F14" i="21"/>
  <c r="E14" i="21"/>
  <c r="F33" i="20"/>
  <c r="F29" i="20"/>
  <c r="F16" i="20"/>
  <c r="F42" i="20"/>
  <c r="F32" i="20"/>
  <c r="F34" i="20"/>
  <c r="F28" i="20"/>
  <c r="F45" i="20"/>
  <c r="F38" i="20"/>
  <c r="F39" i="20"/>
  <c r="F17" i="20"/>
  <c r="F30" i="20"/>
  <c r="F47" i="20"/>
  <c r="F36" i="20"/>
  <c r="F46" i="20"/>
  <c r="F20" i="20"/>
  <c r="F26" i="20"/>
  <c r="F41" i="20"/>
  <c r="F27" i="20"/>
  <c r="F19" i="20"/>
  <c r="F31" i="20"/>
  <c r="F37" i="20"/>
  <c r="F24" i="20"/>
  <c r="F14" i="20"/>
  <c r="F18" i="20"/>
  <c r="F21" i="20"/>
  <c r="F43" i="20"/>
  <c r="F22" i="20"/>
  <c r="F44" i="20"/>
  <c r="F23" i="20"/>
  <c r="F35" i="20"/>
  <c r="F25" i="20"/>
  <c r="F15" i="20"/>
  <c r="E29" i="20"/>
  <c r="E16" i="20"/>
  <c r="E42" i="20"/>
  <c r="E32" i="20"/>
  <c r="E34" i="20"/>
  <c r="E28" i="20"/>
  <c r="E45" i="20"/>
  <c r="E38" i="20"/>
  <c r="E39" i="20"/>
  <c r="E17" i="20"/>
  <c r="E30" i="20"/>
  <c r="E47" i="20"/>
  <c r="E36" i="20"/>
  <c r="E46" i="20"/>
  <c r="E20" i="20"/>
  <c r="E26" i="20"/>
  <c r="E41" i="20"/>
  <c r="E27" i="20"/>
  <c r="E19" i="20"/>
  <c r="E31" i="20"/>
  <c r="E37" i="20"/>
  <c r="E24" i="20"/>
  <c r="E14" i="20"/>
  <c r="E18" i="20"/>
  <c r="E21" i="20"/>
  <c r="E43" i="20"/>
  <c r="E22" i="20"/>
  <c r="E44" i="20"/>
  <c r="E23" i="20"/>
  <c r="E35" i="20"/>
  <c r="E25" i="20"/>
  <c r="E15" i="20"/>
  <c r="E33" i="20"/>
  <c r="F40" i="20"/>
  <c r="E40" i="20"/>
  <c r="F57" i="20"/>
  <c r="F78" i="20"/>
  <c r="F69" i="20"/>
  <c r="F70" i="20"/>
  <c r="F80" i="20"/>
  <c r="F76" i="20"/>
  <c r="F75" i="20"/>
  <c r="F56" i="20"/>
  <c r="F67" i="20"/>
  <c r="F84" i="20"/>
  <c r="F73" i="20"/>
  <c r="F83" i="20"/>
  <c r="F62" i="20"/>
  <c r="F82" i="20"/>
  <c r="F77" i="20"/>
  <c r="F65" i="20"/>
  <c r="F60" i="20"/>
  <c r="F66" i="20"/>
  <c r="F74" i="20"/>
  <c r="F63" i="20"/>
  <c r="F54" i="20"/>
  <c r="F58" i="20"/>
  <c r="F61" i="20"/>
  <c r="F81" i="20"/>
  <c r="F59" i="20"/>
  <c r="F79" i="20"/>
  <c r="F72" i="20"/>
  <c r="F64" i="20"/>
  <c r="F55" i="20"/>
  <c r="F71" i="20"/>
  <c r="F68" i="20"/>
  <c r="E57" i="20"/>
  <c r="E78" i="20"/>
  <c r="E69" i="20"/>
  <c r="E70" i="20"/>
  <c r="E80" i="20"/>
  <c r="E76" i="20"/>
  <c r="E75" i="20"/>
  <c r="E56" i="20"/>
  <c r="E67" i="20"/>
  <c r="E84" i="20"/>
  <c r="E73" i="20"/>
  <c r="E83" i="20"/>
  <c r="E62" i="20"/>
  <c r="E82" i="20"/>
  <c r="E77" i="20"/>
  <c r="E65" i="20"/>
  <c r="E60" i="20"/>
  <c r="E66" i="20"/>
  <c r="E74" i="20"/>
  <c r="E63" i="20"/>
  <c r="E54" i="20"/>
  <c r="E58" i="20"/>
  <c r="E61" i="20"/>
  <c r="E81" i="20"/>
  <c r="E59" i="20"/>
  <c r="E79" i="20"/>
  <c r="E72" i="20"/>
  <c r="E64" i="20"/>
  <c r="E55" i="20"/>
  <c r="E71" i="20"/>
  <c r="E68" i="20"/>
  <c r="F125" i="20"/>
  <c r="F113" i="20"/>
  <c r="F138" i="20"/>
  <c r="F127" i="20"/>
  <c r="F129" i="20"/>
  <c r="F139" i="20"/>
  <c r="F135" i="20"/>
  <c r="F134" i="20"/>
  <c r="F112" i="20"/>
  <c r="F123" i="20"/>
  <c r="F142" i="20"/>
  <c r="F131" i="20"/>
  <c r="F141" i="20"/>
  <c r="F118" i="20"/>
  <c r="F140" i="20"/>
  <c r="F132" i="20"/>
  <c r="F122" i="20"/>
  <c r="F117" i="20"/>
  <c r="F124" i="20"/>
  <c r="F130" i="20"/>
  <c r="F120" i="20"/>
  <c r="F110" i="20"/>
  <c r="F114" i="20"/>
  <c r="F119" i="20"/>
  <c r="F137" i="20"/>
  <c r="F116" i="20"/>
  <c r="F136" i="20"/>
  <c r="F115" i="20"/>
  <c r="F126" i="20"/>
  <c r="F121" i="20"/>
  <c r="F111" i="20"/>
  <c r="F128" i="20"/>
  <c r="F133" i="20"/>
  <c r="E125" i="20"/>
  <c r="E113" i="20"/>
  <c r="E138" i="20"/>
  <c r="E127" i="20"/>
  <c r="E129" i="20"/>
  <c r="E139" i="20"/>
  <c r="E135" i="20"/>
  <c r="E134" i="20"/>
  <c r="E112" i="20"/>
  <c r="E123" i="20"/>
  <c r="E142" i="20"/>
  <c r="E131" i="20"/>
  <c r="E141" i="20"/>
  <c r="E118" i="20"/>
  <c r="E140" i="20"/>
  <c r="E132" i="20"/>
  <c r="E122" i="20"/>
  <c r="E117" i="20"/>
  <c r="E124" i="20"/>
  <c r="E130" i="20"/>
  <c r="E120" i="20"/>
  <c r="E110" i="20"/>
  <c r="E114" i="20"/>
  <c r="E119" i="20"/>
  <c r="E137" i="20"/>
  <c r="E116" i="20"/>
  <c r="E136" i="20"/>
  <c r="E115" i="20"/>
  <c r="E126" i="20"/>
  <c r="E121" i="20"/>
  <c r="E111" i="20"/>
  <c r="E128" i="20"/>
  <c r="E133" i="20"/>
</calcChain>
</file>

<file path=xl/sharedStrings.xml><?xml version="1.0" encoding="utf-8"?>
<sst xmlns="http://schemas.openxmlformats.org/spreadsheetml/2006/main" count="4189" uniqueCount="82">
  <si>
    <t>New entrants by education level, programme orientation, sex and age [educ_uoe_ent01]</t>
  </si>
  <si>
    <t>Last update</t>
  </si>
  <si>
    <t>Extracted on</t>
  </si>
  <si>
    <t>Source of data</t>
  </si>
  <si>
    <t>Eurostat</t>
  </si>
  <si>
    <t>UNIT</t>
  </si>
  <si>
    <t>Number</t>
  </si>
  <si>
    <t>AGE</t>
  </si>
  <si>
    <t>Total</t>
  </si>
  <si>
    <t>SEX</t>
  </si>
  <si>
    <t>ISCED11</t>
  </si>
  <si>
    <t>Upper secondary education</t>
  </si>
  <si>
    <t>GEO/TIME</t>
  </si>
  <si>
    <t>2012</t>
  </si>
  <si>
    <t>2013</t>
  </si>
  <si>
    <t>2014</t>
  </si>
  <si>
    <t>2015</t>
  </si>
  <si>
    <t>2016</t>
  </si>
  <si>
    <t>2017</t>
  </si>
  <si>
    <t>2018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</si>
  <si>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</si>
  <si>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</si>
  <si>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</si>
  <si>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</si>
  <si>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</si>
  <si>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</si>
  <si>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 (until 1990 former territory of the FRG)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</si>
  <si>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</si>
  <si>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</si>
  <si>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</si>
  <si>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</si>
  <si>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</si>
  <si>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</si>
  <si>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</si>
  <si>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</si>
  <si>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</si>
  <si>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</si>
  <si>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</si>
  <si>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</si>
  <si>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</si>
  <si>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</si>
  <si>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</si>
  <si>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</si>
  <si>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</si>
  <si>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</si>
  <si>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</si>
  <si>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</si>
  <si>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</si>
  <si>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</si>
  <si>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</si>
  <si>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Iceland</t>
  </si>
  <si>
    <t>Liechtenstein</t>
  </si>
  <si>
    <t>Norway</t>
  </si>
  <si>
    <t>Switzerland</t>
  </si>
  <si>
    <t>Montenegro</t>
  </si>
  <si>
    <t>North Macedonia</t>
  </si>
  <si>
    <t>Serbia</t>
  </si>
  <si>
    <t>Turkey</t>
  </si>
  <si>
    <t>:</t>
  </si>
  <si>
    <t>Special value:</t>
  </si>
  <si>
    <t>not available</t>
  </si>
  <si>
    <t>Upper secondary education - general</t>
  </si>
  <si>
    <t>Upper secondary education - vocational</t>
  </si>
  <si>
    <t>Post-secondary non-tertiary education</t>
  </si>
  <si>
    <t>Post-secondary non-tertiary education - general</t>
  </si>
  <si>
    <t>Post-secondary non-tertiary education - vocational</t>
  </si>
  <si>
    <t>Short-cycle tertiary education</t>
  </si>
  <si>
    <t>Short-cycle tertiary education - general/academic</t>
  </si>
  <si>
    <t>Short-cycle tertiary education - vocational/professional</t>
  </si>
  <si>
    <t>Bachelor's or equivalent level</t>
  </si>
  <si>
    <t>Bachelor's or equivalent level - academic</t>
  </si>
  <si>
    <t>Bachelor's or equivalent level - professional</t>
  </si>
  <si>
    <t>Master's or equivalent level</t>
  </si>
  <si>
    <t>Master's or equivalent level - academic</t>
  </si>
  <si>
    <t>Master's or equivalent level - professional</t>
  </si>
  <si>
    <t>Doctoral or equivalent level</t>
  </si>
  <si>
    <t>Vocational</t>
  </si>
  <si>
    <t>General</t>
  </si>
  <si>
    <t>2018 - absolutní počty</t>
  </si>
  <si>
    <t>Germany</t>
  </si>
  <si>
    <t>Czech Republic</t>
  </si>
  <si>
    <t>Republic of 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</si>
</sst>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4" x14ac:knownFonts="1">
    <font>
      <sz val="11"/>
      <name val="Arial"/>
      <charset val="238"/>
    </font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 applyAlignment="1"/>
    <xf numFmtId="164" fontId="1" fillId="0" borderId="0" xfId="0" applyNumberFormat="1" applyFont="1" applyFill="1" applyBorder="1" applyAlignment="1"/>
    <xf numFmtId="0" fontId="1" fillId="2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3" fontId="1" fillId="0" borderId="1" xfId="0" applyNumberFormat="1" applyFont="1" applyFill="1" applyBorder="1" applyAlignment="1"/>
    <xf numFmtId="0" fontId="3" fillId="2" borderId="1" xfId="0" applyNumberFormat="1" applyFont="1" applyFill="1" applyBorder="1" applyAlignment="1"/>
    <xf numFmtId="0" fontId="0" fillId="0" borderId="2" xfId="0" applyBorder="1" applyAlignment="1">
      <alignment horizontal="center"/>
    </xf>
    <xf numFmtId="10" fontId="0" fillId="0" borderId="0" xfId="0" applyNumberFormat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New entrants 2015 - 2018:</a:t>
            </a:r>
            <a:r>
              <a:rPr lang="cs-CZ" baseline="0"/>
              <a:t> General vs Vocational Education</a:t>
            </a:r>
            <a:endParaRPr lang="en-GB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and Vocational _ CZ tre'!$A$3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'General and Vocational _ CZ tre'!$B$2:$E$2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'General and Vocational _ CZ tre'!$B$3:$E$3</c:f>
              <c:numCache>
                <c:formatCode>#,##0</c:formatCode>
                <c:ptCount val="4"/>
                <c:pt idx="0">
                  <c:v>25256</c:v>
                </c:pt>
                <c:pt idx="1">
                  <c:v>25981</c:v>
                </c:pt>
                <c:pt idx="2">
                  <c:v>25955</c:v>
                </c:pt>
                <c:pt idx="3">
                  <c:v>25833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1-41BC-BF3F-F688F1A30A0B}"/>
            </c:ext>
          </c:extLst>
        </c:ser>
        <c:ser>
          <c:idx val="1"/>
          <c:order val="1"/>
          <c:tx>
            <c:strRef>
              <c:f>'General and Vocational _ CZ tre'!$A$4</c:f>
              <c:strCache>
                <c:ptCount val="1"/>
                <c:pt idx="0">
                  <c:v>Vocational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'General and Vocational _ CZ tre'!$B$2:$E$2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'General and Vocational _ CZ tre'!$B$4:$E$4</c:f>
              <c:numCache>
                <c:formatCode>#,##0</c:formatCode>
                <c:ptCount val="4"/>
                <c:pt idx="0">
                  <c:v>63132</c:v>
                </c:pt>
                <c:pt idx="1">
                  <c:v>62722</c:v>
                </c:pt>
                <c:pt idx="2">
                  <c:v>62839</c:v>
                </c:pt>
                <c:pt idx="3">
                  <c:v>63883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51-41BC-BF3F-F688F1A30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695343"/>
        <c:axId val="1"/>
      </c:lineChart>
      <c:catAx>
        <c:axId val="81869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869534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wMode val="edge"/>
          <c:hMode val="edge"/>
          <c:x val="7.0128857655169345E-3"/>
          <c:y val="9.1411326393189621E-3"/>
          <c:w val="0.26648817412674902"/>
          <c:h val="5.301817609877417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2016:</a:t>
            </a:r>
            <a:r>
              <a:rPr lang="cs-CZ" baseline="0"/>
              <a:t> Nově nastupující studenti do vyššího sekundárního vzdělávání - všeobecného a odborného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Nejnovejsi_po_rocich2!$E$109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Nejnovejsi_po_rocich2!$D$110:$D$142</c:f>
              <c:strCache>
                <c:ptCount val="33"/>
                <c:pt idx="0">
                  <c:v>Slovenia</c:v>
                </c:pt>
                <c:pt idx="1">
                  <c:v>Serbia</c:v>
                </c:pt>
                <c:pt idx="2">
                  <c:v>Croatia</c:v>
                </c:pt>
                <c:pt idx="3">
                  <c:v>Czechia</c:v>
                </c:pt>
                <c:pt idx="4">
                  <c:v>Slovakia</c:v>
                </c:pt>
                <c:pt idx="5">
                  <c:v>Liechtenstein</c:v>
                </c:pt>
                <c:pt idx="6">
                  <c:v>United Kingdom</c:v>
                </c:pt>
                <c:pt idx="7">
                  <c:v>Austria</c:v>
                </c:pt>
                <c:pt idx="8">
                  <c:v>Luxembourg</c:v>
                </c:pt>
                <c:pt idx="9">
                  <c:v>Finland</c:v>
                </c:pt>
                <c:pt idx="10">
                  <c:v>Romania</c:v>
                </c:pt>
                <c:pt idx="11">
                  <c:v>Switzerland</c:v>
                </c:pt>
                <c:pt idx="12">
                  <c:v>Netherlands</c:v>
                </c:pt>
                <c:pt idx="13">
                  <c:v>Italy</c:v>
                </c:pt>
                <c:pt idx="14">
                  <c:v>Poland</c:v>
                </c:pt>
                <c:pt idx="15">
                  <c:v>Bulgaria</c:v>
                </c:pt>
                <c:pt idx="16">
                  <c:v>Norway</c:v>
                </c:pt>
                <c:pt idx="17">
                  <c:v>Germany (until 1990 former territory of the FRG)</c:v>
                </c:pt>
                <c:pt idx="18">
                  <c:v>Turkey</c:v>
                </c:pt>
                <c:pt idx="19">
                  <c:v>Estonia</c:v>
                </c:pt>
                <c:pt idx="20">
                  <c:v>Portugal</c:v>
                </c:pt>
                <c:pt idx="21">
                  <c:v>Latvia</c:v>
                </c:pt>
                <c:pt idx="22">
                  <c:v>Malta</c:v>
                </c:pt>
                <c:pt idx="23">
                  <c:v>Belgium</c:v>
                </c:pt>
                <c:pt idx="24">
                  <c:v>France</c:v>
                </c:pt>
                <c:pt idx="25">
                  <c:v>Spain</c:v>
                </c:pt>
                <c:pt idx="26">
                  <c:v>Iceland</c:v>
                </c:pt>
                <c:pt idx="27">
                  <c:v>Sweden</c:v>
                </c:pt>
                <c:pt idx="28">
                  <c:v>Denmark</c:v>
                </c:pt>
                <c:pt idx="29">
                  <c:v>Greece</c:v>
                </c:pt>
                <c:pt idx="30">
                  <c:v>Hungary</c:v>
                </c:pt>
                <c:pt idx="31">
                  <c:v>Lithuania</c:v>
                </c:pt>
                <c:pt idx="32">
                  <c:v>Cyprus</c:v>
                </c:pt>
              </c:strCache>
            </c:strRef>
          </c:cat>
          <c:val>
            <c:numRef>
              <c:f>Nejnovejsi_po_rocich2!$E$110:$E$142</c:f>
              <c:numCache>
                <c:formatCode>General</c:formatCode>
                <c:ptCount val="33"/>
                <c:pt idx="0">
                  <c:v>22.313233987960128</c:v>
                </c:pt>
                <c:pt idx="1">
                  <c:v>25.581413720099849</c:v>
                </c:pt>
                <c:pt idx="2">
                  <c:v>28.269192020955067</c:v>
                </c:pt>
                <c:pt idx="3">
                  <c:v>29.289877456230343</c:v>
                </c:pt>
                <c:pt idx="4">
                  <c:v>29.390451832907075</c:v>
                </c:pt>
                <c:pt idx="5">
                  <c:v>36.417322834645667</c:v>
                </c:pt>
                <c:pt idx="6">
                  <c:v>36.758079706749804</c:v>
                </c:pt>
                <c:pt idx="7">
                  <c:v>38.044219434506857</c:v>
                </c:pt>
                <c:pt idx="8">
                  <c:v>38.388845855925638</c:v>
                </c:pt>
                <c:pt idx="9">
                  <c:v>40.151349512912084</c:v>
                </c:pt>
                <c:pt idx="10">
                  <c:v>41.346375989750697</c:v>
                </c:pt>
                <c:pt idx="11">
                  <c:v>43.73640502672761</c:v>
                </c:pt>
                <c:pt idx="12">
                  <c:v>46.023565457502741</c:v>
                </c:pt>
                <c:pt idx="13">
                  <c:v>46.057782636994098</c:v>
                </c:pt>
                <c:pt idx="14">
                  <c:v>47.040421065081759</c:v>
                </c:pt>
                <c:pt idx="15">
                  <c:v>47.911489577232942</c:v>
                </c:pt>
                <c:pt idx="16">
                  <c:v>52.827383165063267</c:v>
                </c:pt>
                <c:pt idx="17">
                  <c:v>52.884317113679288</c:v>
                </c:pt>
                <c:pt idx="18">
                  <c:v>54.20867693748712</c:v>
                </c:pt>
                <c:pt idx="19">
                  <c:v>54.590880699562774</c:v>
                </c:pt>
                <c:pt idx="20">
                  <c:v>62.024612072504354</c:v>
                </c:pt>
                <c:pt idx="21">
                  <c:v>62.130832130832133</c:v>
                </c:pt>
                <c:pt idx="22">
                  <c:v>62.905583162817891</c:v>
                </c:pt>
                <c:pt idx="23">
                  <c:v>62.977932107550146</c:v>
                </c:pt>
                <c:pt idx="24">
                  <c:v>63.079574908975282</c:v>
                </c:pt>
                <c:pt idx="25">
                  <c:v>64.823716313214817</c:v>
                </c:pt>
                <c:pt idx="26">
                  <c:v>67.46853592480484</c:v>
                </c:pt>
                <c:pt idx="27">
                  <c:v>67.511720477664753</c:v>
                </c:pt>
                <c:pt idx="28">
                  <c:v>68.22721256604062</c:v>
                </c:pt>
                <c:pt idx="29">
                  <c:v>69.892108387366122</c:v>
                </c:pt>
                <c:pt idx="30">
                  <c:v>73.6050897042755</c:v>
                </c:pt>
                <c:pt idx="31">
                  <c:v>78.654244306418221</c:v>
                </c:pt>
                <c:pt idx="32">
                  <c:v>81.849710982658948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1-4906-B8FF-6420020A2D8E}"/>
            </c:ext>
          </c:extLst>
        </c:ser>
        <c:ser>
          <c:idx val="1"/>
          <c:order val="1"/>
          <c:tx>
            <c:strRef>
              <c:f>Nejnovejsi_po_rocich2!$F$109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Nejnovejsi_po_rocich2!$D$110:$D$142</c:f>
              <c:strCache>
                <c:ptCount val="33"/>
                <c:pt idx="0">
                  <c:v>Slovenia</c:v>
                </c:pt>
                <c:pt idx="1">
                  <c:v>Serbia</c:v>
                </c:pt>
                <c:pt idx="2">
                  <c:v>Croatia</c:v>
                </c:pt>
                <c:pt idx="3">
                  <c:v>Czechia</c:v>
                </c:pt>
                <c:pt idx="4">
                  <c:v>Slovakia</c:v>
                </c:pt>
                <c:pt idx="5">
                  <c:v>Liechtenstein</c:v>
                </c:pt>
                <c:pt idx="6">
                  <c:v>United Kingdom</c:v>
                </c:pt>
                <c:pt idx="7">
                  <c:v>Austria</c:v>
                </c:pt>
                <c:pt idx="8">
                  <c:v>Luxembourg</c:v>
                </c:pt>
                <c:pt idx="9">
                  <c:v>Finland</c:v>
                </c:pt>
                <c:pt idx="10">
                  <c:v>Romania</c:v>
                </c:pt>
                <c:pt idx="11">
                  <c:v>Switzerland</c:v>
                </c:pt>
                <c:pt idx="12">
                  <c:v>Netherlands</c:v>
                </c:pt>
                <c:pt idx="13">
                  <c:v>Italy</c:v>
                </c:pt>
                <c:pt idx="14">
                  <c:v>Poland</c:v>
                </c:pt>
                <c:pt idx="15">
                  <c:v>Bulgaria</c:v>
                </c:pt>
                <c:pt idx="16">
                  <c:v>Norway</c:v>
                </c:pt>
                <c:pt idx="17">
                  <c:v>Germany (until 1990 former territory of the FRG)</c:v>
                </c:pt>
                <c:pt idx="18">
                  <c:v>Turkey</c:v>
                </c:pt>
                <c:pt idx="19">
                  <c:v>Estonia</c:v>
                </c:pt>
                <c:pt idx="20">
                  <c:v>Portugal</c:v>
                </c:pt>
                <c:pt idx="21">
                  <c:v>Latvia</c:v>
                </c:pt>
                <c:pt idx="22">
                  <c:v>Malta</c:v>
                </c:pt>
                <c:pt idx="23">
                  <c:v>Belgium</c:v>
                </c:pt>
                <c:pt idx="24">
                  <c:v>France</c:v>
                </c:pt>
                <c:pt idx="25">
                  <c:v>Spain</c:v>
                </c:pt>
                <c:pt idx="26">
                  <c:v>Iceland</c:v>
                </c:pt>
                <c:pt idx="27">
                  <c:v>Sweden</c:v>
                </c:pt>
                <c:pt idx="28">
                  <c:v>Denmark</c:v>
                </c:pt>
                <c:pt idx="29">
                  <c:v>Greece</c:v>
                </c:pt>
                <c:pt idx="30">
                  <c:v>Hungary</c:v>
                </c:pt>
                <c:pt idx="31">
                  <c:v>Lithuania</c:v>
                </c:pt>
                <c:pt idx="32">
                  <c:v>Cyprus</c:v>
                </c:pt>
              </c:strCache>
            </c:strRef>
          </c:cat>
          <c:val>
            <c:numRef>
              <c:f>Nejnovejsi_po_rocich2!$F$110:$F$142</c:f>
              <c:numCache>
                <c:formatCode>General</c:formatCode>
                <c:ptCount val="33"/>
                <c:pt idx="0">
                  <c:v>77.686766012039868</c:v>
                </c:pt>
                <c:pt idx="1">
                  <c:v>74.41858627990014</c:v>
                </c:pt>
                <c:pt idx="2">
                  <c:v>71.730807979044926</c:v>
                </c:pt>
                <c:pt idx="3">
                  <c:v>70.710122543769657</c:v>
                </c:pt>
                <c:pt idx="4">
                  <c:v>70.609548167092925</c:v>
                </c:pt>
                <c:pt idx="5">
                  <c:v>63.582677165354333</c:v>
                </c:pt>
                <c:pt idx="6">
                  <c:v>63.241920293250189</c:v>
                </c:pt>
                <c:pt idx="7">
                  <c:v>61.95578056549315</c:v>
                </c:pt>
                <c:pt idx="8">
                  <c:v>61.611154144074362</c:v>
                </c:pt>
                <c:pt idx="9">
                  <c:v>59.848650487087916</c:v>
                </c:pt>
                <c:pt idx="10">
                  <c:v>58.653624010249303</c:v>
                </c:pt>
                <c:pt idx="11">
                  <c:v>56.263594973272397</c:v>
                </c:pt>
                <c:pt idx="12">
                  <c:v>53.976434542497259</c:v>
                </c:pt>
                <c:pt idx="13">
                  <c:v>53.942217363005902</c:v>
                </c:pt>
                <c:pt idx="14">
                  <c:v>52.959578934918241</c:v>
                </c:pt>
                <c:pt idx="15">
                  <c:v>52.088510422767065</c:v>
                </c:pt>
                <c:pt idx="16">
                  <c:v>47.172616834936733</c:v>
                </c:pt>
                <c:pt idx="17">
                  <c:v>47.115682886320712</c:v>
                </c:pt>
                <c:pt idx="18">
                  <c:v>45.791323062512888</c:v>
                </c:pt>
                <c:pt idx="19">
                  <c:v>45.409119300437226</c:v>
                </c:pt>
                <c:pt idx="20">
                  <c:v>37.975387927495646</c:v>
                </c:pt>
                <c:pt idx="21">
                  <c:v>37.869167869167867</c:v>
                </c:pt>
                <c:pt idx="22">
                  <c:v>37.094416837182109</c:v>
                </c:pt>
                <c:pt idx="23">
                  <c:v>37.022067892449861</c:v>
                </c:pt>
                <c:pt idx="24">
                  <c:v>36.920425091024725</c:v>
                </c:pt>
                <c:pt idx="25">
                  <c:v>35.17628368678519</c:v>
                </c:pt>
                <c:pt idx="26">
                  <c:v>32.531464075195153</c:v>
                </c:pt>
                <c:pt idx="27">
                  <c:v>32.488279522335247</c:v>
                </c:pt>
                <c:pt idx="28">
                  <c:v>31.772787433959373</c:v>
                </c:pt>
                <c:pt idx="29">
                  <c:v>30.107891612633885</c:v>
                </c:pt>
                <c:pt idx="30">
                  <c:v>26.394910295724511</c:v>
                </c:pt>
                <c:pt idx="31">
                  <c:v>21.345755693581779</c:v>
                </c:pt>
                <c:pt idx="32">
                  <c:v>18.150289017341038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1-4906-B8FF-6420020A2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690143"/>
        <c:axId val="1"/>
      </c:barChart>
      <c:catAx>
        <c:axId val="81869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86901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7860358848586547"/>
          <c:y val="6.8121608595349244E-3"/>
          <c:w val="0.39298627425670152"/>
          <c:h val="3.951073516085593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2016:</a:t>
            </a:r>
            <a:r>
              <a:rPr lang="cs-CZ" baseline="0"/>
              <a:t> Nově nastupující studenti do vyššího sekundárního vzdělávání - všeobecného a odborného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Nejnovejsi_po_rocich!$E$109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Nejnovejsi_po_rocich!$D$110:$D$142</c:f>
              <c:strCache>
                <c:ptCount val="33"/>
                <c:pt idx="0">
                  <c:v>Slovenia</c:v>
                </c:pt>
                <c:pt idx="1">
                  <c:v>Serbia</c:v>
                </c:pt>
                <c:pt idx="2">
                  <c:v>Croatia</c:v>
                </c:pt>
                <c:pt idx="3">
                  <c:v>Czechia</c:v>
                </c:pt>
                <c:pt idx="4">
                  <c:v>Slovakia</c:v>
                </c:pt>
                <c:pt idx="5">
                  <c:v>Liechtenstein</c:v>
                </c:pt>
                <c:pt idx="6">
                  <c:v>United Kingdom</c:v>
                </c:pt>
                <c:pt idx="7">
                  <c:v>Austria</c:v>
                </c:pt>
                <c:pt idx="8">
                  <c:v>Luxembourg</c:v>
                </c:pt>
                <c:pt idx="9">
                  <c:v>Finland</c:v>
                </c:pt>
                <c:pt idx="10">
                  <c:v>Romania</c:v>
                </c:pt>
                <c:pt idx="11">
                  <c:v>Switzerland</c:v>
                </c:pt>
                <c:pt idx="12">
                  <c:v>Netherlands</c:v>
                </c:pt>
                <c:pt idx="13">
                  <c:v>Italy</c:v>
                </c:pt>
                <c:pt idx="14">
                  <c:v>Poland</c:v>
                </c:pt>
                <c:pt idx="15">
                  <c:v>Bulgaria</c:v>
                </c:pt>
                <c:pt idx="16">
                  <c:v>Norway</c:v>
                </c:pt>
                <c:pt idx="17">
                  <c:v>Germany (until 1990 former territory of the FRG)</c:v>
                </c:pt>
                <c:pt idx="18">
                  <c:v>Turkey</c:v>
                </c:pt>
                <c:pt idx="19">
                  <c:v>Estonia</c:v>
                </c:pt>
                <c:pt idx="20">
                  <c:v>Portugal</c:v>
                </c:pt>
                <c:pt idx="21">
                  <c:v>Latvia</c:v>
                </c:pt>
                <c:pt idx="22">
                  <c:v>Malta</c:v>
                </c:pt>
                <c:pt idx="23">
                  <c:v>Belgium</c:v>
                </c:pt>
                <c:pt idx="24">
                  <c:v>France</c:v>
                </c:pt>
                <c:pt idx="25">
                  <c:v>Spain</c:v>
                </c:pt>
                <c:pt idx="26">
                  <c:v>Iceland</c:v>
                </c:pt>
                <c:pt idx="27">
                  <c:v>Sweden</c:v>
                </c:pt>
                <c:pt idx="28">
                  <c:v>Denmark</c:v>
                </c:pt>
                <c:pt idx="29">
                  <c:v>Greece</c:v>
                </c:pt>
                <c:pt idx="30">
                  <c:v>Hungary</c:v>
                </c:pt>
                <c:pt idx="31">
                  <c:v>Lithuania</c:v>
                </c:pt>
                <c:pt idx="32">
                  <c:v>Cyprus</c:v>
                </c:pt>
              </c:strCache>
            </c:strRef>
          </c:cat>
          <c:val>
            <c:numRef>
              <c:f>Nejnovejsi_po_rocich!$E$110:$E$142</c:f>
              <c:numCache>
                <c:formatCode>General</c:formatCode>
                <c:ptCount val="33"/>
                <c:pt idx="0">
                  <c:v>22.313233987960128</c:v>
                </c:pt>
                <c:pt idx="1">
                  <c:v>25.581413720099849</c:v>
                </c:pt>
                <c:pt idx="2">
                  <c:v>28.269192020955067</c:v>
                </c:pt>
                <c:pt idx="3">
                  <c:v>29.289877456230343</c:v>
                </c:pt>
                <c:pt idx="4">
                  <c:v>29.390451832907075</c:v>
                </c:pt>
                <c:pt idx="5">
                  <c:v>36.417322834645667</c:v>
                </c:pt>
                <c:pt idx="6">
                  <c:v>36.758079706749804</c:v>
                </c:pt>
                <c:pt idx="7">
                  <c:v>38.044219434506857</c:v>
                </c:pt>
                <c:pt idx="8">
                  <c:v>38.388845855925638</c:v>
                </c:pt>
                <c:pt idx="9">
                  <c:v>40.151349512912084</c:v>
                </c:pt>
                <c:pt idx="10">
                  <c:v>41.346375989750697</c:v>
                </c:pt>
                <c:pt idx="11">
                  <c:v>43.73640502672761</c:v>
                </c:pt>
                <c:pt idx="12">
                  <c:v>46.023565457502741</c:v>
                </c:pt>
                <c:pt idx="13">
                  <c:v>46.057782636994098</c:v>
                </c:pt>
                <c:pt idx="14">
                  <c:v>47.040421065081759</c:v>
                </c:pt>
                <c:pt idx="15">
                  <c:v>47.911489577232942</c:v>
                </c:pt>
                <c:pt idx="16">
                  <c:v>52.827383165063267</c:v>
                </c:pt>
                <c:pt idx="17">
                  <c:v>52.884317113679288</c:v>
                </c:pt>
                <c:pt idx="18">
                  <c:v>54.20867693748712</c:v>
                </c:pt>
                <c:pt idx="19">
                  <c:v>54.590880699562774</c:v>
                </c:pt>
                <c:pt idx="20">
                  <c:v>62.024612072504354</c:v>
                </c:pt>
                <c:pt idx="21">
                  <c:v>62.130832130832133</c:v>
                </c:pt>
                <c:pt idx="22">
                  <c:v>62.905583162817891</c:v>
                </c:pt>
                <c:pt idx="23">
                  <c:v>62.977932107550146</c:v>
                </c:pt>
                <c:pt idx="24">
                  <c:v>63.079574908975282</c:v>
                </c:pt>
                <c:pt idx="25">
                  <c:v>64.823716313214817</c:v>
                </c:pt>
                <c:pt idx="26">
                  <c:v>67.46853592480484</c:v>
                </c:pt>
                <c:pt idx="27">
                  <c:v>67.511720477664753</c:v>
                </c:pt>
                <c:pt idx="28">
                  <c:v>68.22721256604062</c:v>
                </c:pt>
                <c:pt idx="29">
                  <c:v>69.892108387366122</c:v>
                </c:pt>
                <c:pt idx="30">
                  <c:v>73.6050897042755</c:v>
                </c:pt>
                <c:pt idx="31">
                  <c:v>78.654244306418221</c:v>
                </c:pt>
                <c:pt idx="32">
                  <c:v>81.849710982658948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9-488A-9EA1-ED4FB8673279}"/>
            </c:ext>
          </c:extLst>
        </c:ser>
        <c:ser>
          <c:idx val="1"/>
          <c:order val="1"/>
          <c:tx>
            <c:strRef>
              <c:f>Nejnovejsi_po_rocich!$F$109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Nejnovejsi_po_rocich!$D$110:$D$142</c:f>
              <c:strCache>
                <c:ptCount val="33"/>
                <c:pt idx="0">
                  <c:v>Slovenia</c:v>
                </c:pt>
                <c:pt idx="1">
                  <c:v>Serbia</c:v>
                </c:pt>
                <c:pt idx="2">
                  <c:v>Croatia</c:v>
                </c:pt>
                <c:pt idx="3">
                  <c:v>Czechia</c:v>
                </c:pt>
                <c:pt idx="4">
                  <c:v>Slovakia</c:v>
                </c:pt>
                <c:pt idx="5">
                  <c:v>Liechtenstein</c:v>
                </c:pt>
                <c:pt idx="6">
                  <c:v>United Kingdom</c:v>
                </c:pt>
                <c:pt idx="7">
                  <c:v>Austria</c:v>
                </c:pt>
                <c:pt idx="8">
                  <c:v>Luxembourg</c:v>
                </c:pt>
                <c:pt idx="9">
                  <c:v>Finland</c:v>
                </c:pt>
                <c:pt idx="10">
                  <c:v>Romania</c:v>
                </c:pt>
                <c:pt idx="11">
                  <c:v>Switzerland</c:v>
                </c:pt>
                <c:pt idx="12">
                  <c:v>Netherlands</c:v>
                </c:pt>
                <c:pt idx="13">
                  <c:v>Italy</c:v>
                </c:pt>
                <c:pt idx="14">
                  <c:v>Poland</c:v>
                </c:pt>
                <c:pt idx="15">
                  <c:v>Bulgaria</c:v>
                </c:pt>
                <c:pt idx="16">
                  <c:v>Norway</c:v>
                </c:pt>
                <c:pt idx="17">
                  <c:v>Germany (until 1990 former territory of the FRG)</c:v>
                </c:pt>
                <c:pt idx="18">
                  <c:v>Turkey</c:v>
                </c:pt>
                <c:pt idx="19">
                  <c:v>Estonia</c:v>
                </c:pt>
                <c:pt idx="20">
                  <c:v>Portugal</c:v>
                </c:pt>
                <c:pt idx="21">
                  <c:v>Latvia</c:v>
                </c:pt>
                <c:pt idx="22">
                  <c:v>Malta</c:v>
                </c:pt>
                <c:pt idx="23">
                  <c:v>Belgium</c:v>
                </c:pt>
                <c:pt idx="24">
                  <c:v>France</c:v>
                </c:pt>
                <c:pt idx="25">
                  <c:v>Spain</c:v>
                </c:pt>
                <c:pt idx="26">
                  <c:v>Iceland</c:v>
                </c:pt>
                <c:pt idx="27">
                  <c:v>Sweden</c:v>
                </c:pt>
                <c:pt idx="28">
                  <c:v>Denmark</c:v>
                </c:pt>
                <c:pt idx="29">
                  <c:v>Greece</c:v>
                </c:pt>
                <c:pt idx="30">
                  <c:v>Hungary</c:v>
                </c:pt>
                <c:pt idx="31">
                  <c:v>Lithuania</c:v>
                </c:pt>
                <c:pt idx="32">
                  <c:v>Cyprus</c:v>
                </c:pt>
              </c:strCache>
            </c:strRef>
          </c:cat>
          <c:val>
            <c:numRef>
              <c:f>Nejnovejsi_po_rocich!$F$110:$F$142</c:f>
              <c:numCache>
                <c:formatCode>General</c:formatCode>
                <c:ptCount val="33"/>
                <c:pt idx="0">
                  <c:v>77.686766012039868</c:v>
                </c:pt>
                <c:pt idx="1">
                  <c:v>74.41858627990014</c:v>
                </c:pt>
                <c:pt idx="2">
                  <c:v>71.730807979044926</c:v>
                </c:pt>
                <c:pt idx="3">
                  <c:v>70.710122543769657</c:v>
                </c:pt>
                <c:pt idx="4">
                  <c:v>70.609548167092925</c:v>
                </c:pt>
                <c:pt idx="5">
                  <c:v>63.582677165354333</c:v>
                </c:pt>
                <c:pt idx="6">
                  <c:v>63.241920293250189</c:v>
                </c:pt>
                <c:pt idx="7">
                  <c:v>61.95578056549315</c:v>
                </c:pt>
                <c:pt idx="8">
                  <c:v>61.611154144074362</c:v>
                </c:pt>
                <c:pt idx="9">
                  <c:v>59.848650487087916</c:v>
                </c:pt>
                <c:pt idx="10">
                  <c:v>58.653624010249303</c:v>
                </c:pt>
                <c:pt idx="11">
                  <c:v>56.263594973272397</c:v>
                </c:pt>
                <c:pt idx="12">
                  <c:v>53.976434542497259</c:v>
                </c:pt>
                <c:pt idx="13">
                  <c:v>53.942217363005902</c:v>
                </c:pt>
                <c:pt idx="14">
                  <c:v>52.959578934918241</c:v>
                </c:pt>
                <c:pt idx="15">
                  <c:v>52.088510422767065</c:v>
                </c:pt>
                <c:pt idx="16">
                  <c:v>47.172616834936733</c:v>
                </c:pt>
                <c:pt idx="17">
                  <c:v>47.115682886320712</c:v>
                </c:pt>
                <c:pt idx="18">
                  <c:v>45.791323062512888</c:v>
                </c:pt>
                <c:pt idx="19">
                  <c:v>45.409119300437226</c:v>
                </c:pt>
                <c:pt idx="20">
                  <c:v>37.975387927495646</c:v>
                </c:pt>
                <c:pt idx="21">
                  <c:v>37.869167869167867</c:v>
                </c:pt>
                <c:pt idx="22">
                  <c:v>37.094416837182109</c:v>
                </c:pt>
                <c:pt idx="23">
                  <c:v>37.022067892449861</c:v>
                </c:pt>
                <c:pt idx="24">
                  <c:v>36.920425091024725</c:v>
                </c:pt>
                <c:pt idx="25">
                  <c:v>35.17628368678519</c:v>
                </c:pt>
                <c:pt idx="26">
                  <c:v>32.531464075195153</c:v>
                </c:pt>
                <c:pt idx="27">
                  <c:v>32.488279522335247</c:v>
                </c:pt>
                <c:pt idx="28">
                  <c:v>31.772787433959373</c:v>
                </c:pt>
                <c:pt idx="29">
                  <c:v>30.107891612633885</c:v>
                </c:pt>
                <c:pt idx="30">
                  <c:v>26.394910295724511</c:v>
                </c:pt>
                <c:pt idx="31">
                  <c:v>21.345755693581779</c:v>
                </c:pt>
                <c:pt idx="32">
                  <c:v>18.150289017341038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9-488A-9EA1-ED4FB8673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697343"/>
        <c:axId val="1"/>
      </c:barChart>
      <c:catAx>
        <c:axId val="81869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86973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7860358848586547"/>
          <c:y val="6.8121608595349244E-3"/>
          <c:w val="0.39298627425670152"/>
          <c:h val="3.951073516085593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</a:t>
            </a:r>
            <a:r>
              <a:rPr lang="cs-CZ"/>
              <a:t>7</a:t>
            </a:r>
            <a:r>
              <a:rPr lang="en-US"/>
              <a:t>: Nově nastupující studenti do vyššího sekundárního vzdělávání - všeobecného a odborného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Nejnovejsi_po_rocich!$E$53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Nejnovejsi_po_rocich!$D$54:$D$84</c:f>
              <c:strCache>
                <c:ptCount val="31"/>
                <c:pt idx="0">
                  <c:v>Slovenia</c:v>
                </c:pt>
                <c:pt idx="1">
                  <c:v>Serbia</c:v>
                </c:pt>
                <c:pt idx="2">
                  <c:v>Croatia</c:v>
                </c:pt>
                <c:pt idx="3">
                  <c:v>Czechia</c:v>
                </c:pt>
                <c:pt idx="4">
                  <c:v>Slovakia</c:v>
                </c:pt>
                <c:pt idx="5">
                  <c:v>United Kingdom</c:v>
                </c:pt>
                <c:pt idx="6">
                  <c:v>Austria</c:v>
                </c:pt>
                <c:pt idx="7">
                  <c:v>Finland</c:v>
                </c:pt>
                <c:pt idx="8">
                  <c:v>Luxembourg</c:v>
                </c:pt>
                <c:pt idx="9">
                  <c:v>Romania</c:v>
                </c:pt>
                <c:pt idx="10">
                  <c:v>Switzerland</c:v>
                </c:pt>
                <c:pt idx="11">
                  <c:v>Netherlands</c:v>
                </c:pt>
                <c:pt idx="12">
                  <c:v>Poland</c:v>
                </c:pt>
                <c:pt idx="13">
                  <c:v>Italy</c:v>
                </c:pt>
                <c:pt idx="14">
                  <c:v>Bulgaria</c:v>
                </c:pt>
                <c:pt idx="15">
                  <c:v>Germany (until 1990 former territory of the FRG)</c:v>
                </c:pt>
                <c:pt idx="16">
                  <c:v>Estonia</c:v>
                </c:pt>
                <c:pt idx="17">
                  <c:v>Turkey</c:v>
                </c:pt>
                <c:pt idx="18">
                  <c:v>Norway</c:v>
                </c:pt>
                <c:pt idx="19">
                  <c:v>Latvia</c:v>
                </c:pt>
                <c:pt idx="20">
                  <c:v>Portugal</c:v>
                </c:pt>
                <c:pt idx="21">
                  <c:v>France</c:v>
                </c:pt>
                <c:pt idx="22">
                  <c:v>Spain</c:v>
                </c:pt>
                <c:pt idx="23">
                  <c:v>Malta</c:v>
                </c:pt>
                <c:pt idx="24">
                  <c:v>Denmark</c:v>
                </c:pt>
                <c:pt idx="25">
                  <c:v>Iceland</c:v>
                </c:pt>
                <c:pt idx="26">
                  <c:v>Greece</c:v>
                </c:pt>
                <c:pt idx="27">
                  <c:v>Sweden</c:v>
                </c:pt>
                <c:pt idx="28">
                  <c:v>Hungary</c:v>
                </c:pt>
                <c:pt idx="29">
                  <c:v>Lithuania</c:v>
                </c:pt>
                <c:pt idx="30">
                  <c:v>Cyprus</c:v>
                </c:pt>
              </c:strCache>
            </c:strRef>
          </c:cat>
          <c:val>
            <c:numRef>
              <c:f>Nejnovejsi_po_rocich!$E$54:$E$84</c:f>
              <c:numCache>
                <c:formatCode>General</c:formatCode>
                <c:ptCount val="31"/>
                <c:pt idx="0">
                  <c:v>24.11614368876899</c:v>
                </c:pt>
                <c:pt idx="1">
                  <c:v>25.7807902185532</c:v>
                </c:pt>
                <c:pt idx="2">
                  <c:v>29.127507197411308</c:v>
                </c:pt>
                <c:pt idx="3">
                  <c:v>29.230578642701083</c:v>
                </c:pt>
                <c:pt idx="4">
                  <c:v>29.641740119419961</c:v>
                </c:pt>
                <c:pt idx="5">
                  <c:v>34.79658982113277</c:v>
                </c:pt>
                <c:pt idx="6">
                  <c:v>37.753577165913249</c:v>
                </c:pt>
                <c:pt idx="7">
                  <c:v>38.869171602452958</c:v>
                </c:pt>
                <c:pt idx="8">
                  <c:v>39.764670387690444</c:v>
                </c:pt>
                <c:pt idx="9">
                  <c:v>42.064499885056215</c:v>
                </c:pt>
                <c:pt idx="10">
                  <c:v>44.442985795678318</c:v>
                </c:pt>
                <c:pt idx="11">
                  <c:v>45.696762006807589</c:v>
                </c:pt>
                <c:pt idx="12">
                  <c:v>46.329233908701774</c:v>
                </c:pt>
                <c:pt idx="13">
                  <c:v>47.156985042270428</c:v>
                </c:pt>
                <c:pt idx="14">
                  <c:v>49.186232877844049</c:v>
                </c:pt>
                <c:pt idx="15">
                  <c:v>54.976395673272947</c:v>
                </c:pt>
                <c:pt idx="16">
                  <c:v>55.142384947876941</c:v>
                </c:pt>
                <c:pt idx="17">
                  <c:v>55.241589483806884</c:v>
                </c:pt>
                <c:pt idx="18">
                  <c:v>56.604890757297653</c:v>
                </c:pt>
                <c:pt idx="19">
                  <c:v>59.644520826737818</c:v>
                </c:pt>
                <c:pt idx="20">
                  <c:v>62.302278915089452</c:v>
                </c:pt>
                <c:pt idx="21">
                  <c:v>63.449571731862662</c:v>
                </c:pt>
                <c:pt idx="22">
                  <c:v>63.754994054796221</c:v>
                </c:pt>
                <c:pt idx="23">
                  <c:v>66.250507511165253</c:v>
                </c:pt>
                <c:pt idx="24">
                  <c:v>69.547535944154475</c:v>
                </c:pt>
                <c:pt idx="25">
                  <c:v>70.596658711217188</c:v>
                </c:pt>
                <c:pt idx="26">
                  <c:v>71.313943894389439</c:v>
                </c:pt>
                <c:pt idx="27">
                  <c:v>71.590048228737729</c:v>
                </c:pt>
                <c:pt idx="28">
                  <c:v>75.276908558088707</c:v>
                </c:pt>
                <c:pt idx="29">
                  <c:v>78.011397720455918</c:v>
                </c:pt>
                <c:pt idx="30">
                  <c:v>82.068444348483212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6-4752-84DF-29BFF530B534}"/>
            </c:ext>
          </c:extLst>
        </c:ser>
        <c:ser>
          <c:idx val="1"/>
          <c:order val="1"/>
          <c:tx>
            <c:strRef>
              <c:f>Nejnovejsi_po_rocich!$F$53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Nejnovejsi_po_rocich!$D$54:$D$84</c:f>
              <c:strCache>
                <c:ptCount val="31"/>
                <c:pt idx="0">
                  <c:v>Slovenia</c:v>
                </c:pt>
                <c:pt idx="1">
                  <c:v>Serbia</c:v>
                </c:pt>
                <c:pt idx="2">
                  <c:v>Croatia</c:v>
                </c:pt>
                <c:pt idx="3">
                  <c:v>Czechia</c:v>
                </c:pt>
                <c:pt idx="4">
                  <c:v>Slovakia</c:v>
                </c:pt>
                <c:pt idx="5">
                  <c:v>United Kingdom</c:v>
                </c:pt>
                <c:pt idx="6">
                  <c:v>Austria</c:v>
                </c:pt>
                <c:pt idx="7">
                  <c:v>Finland</c:v>
                </c:pt>
                <c:pt idx="8">
                  <c:v>Luxembourg</c:v>
                </c:pt>
                <c:pt idx="9">
                  <c:v>Romania</c:v>
                </c:pt>
                <c:pt idx="10">
                  <c:v>Switzerland</c:v>
                </c:pt>
                <c:pt idx="11">
                  <c:v>Netherlands</c:v>
                </c:pt>
                <c:pt idx="12">
                  <c:v>Poland</c:v>
                </c:pt>
                <c:pt idx="13">
                  <c:v>Italy</c:v>
                </c:pt>
                <c:pt idx="14">
                  <c:v>Bulgaria</c:v>
                </c:pt>
                <c:pt idx="15">
                  <c:v>Germany (until 1990 former territory of the FRG)</c:v>
                </c:pt>
                <c:pt idx="16">
                  <c:v>Estonia</c:v>
                </c:pt>
                <c:pt idx="17">
                  <c:v>Turkey</c:v>
                </c:pt>
                <c:pt idx="18">
                  <c:v>Norway</c:v>
                </c:pt>
                <c:pt idx="19">
                  <c:v>Latvia</c:v>
                </c:pt>
                <c:pt idx="20">
                  <c:v>Portugal</c:v>
                </c:pt>
                <c:pt idx="21">
                  <c:v>France</c:v>
                </c:pt>
                <c:pt idx="22">
                  <c:v>Spain</c:v>
                </c:pt>
                <c:pt idx="23">
                  <c:v>Malta</c:v>
                </c:pt>
                <c:pt idx="24">
                  <c:v>Denmark</c:v>
                </c:pt>
                <c:pt idx="25">
                  <c:v>Iceland</c:v>
                </c:pt>
                <c:pt idx="26">
                  <c:v>Greece</c:v>
                </c:pt>
                <c:pt idx="27">
                  <c:v>Sweden</c:v>
                </c:pt>
                <c:pt idx="28">
                  <c:v>Hungary</c:v>
                </c:pt>
                <c:pt idx="29">
                  <c:v>Lithuania</c:v>
                </c:pt>
                <c:pt idx="30">
                  <c:v>Cyprus</c:v>
                </c:pt>
              </c:strCache>
            </c:strRef>
          </c:cat>
          <c:val>
            <c:numRef>
              <c:f>Nejnovejsi_po_rocich!$F$54:$F$84</c:f>
              <c:numCache>
                <c:formatCode>General</c:formatCode>
                <c:ptCount val="31"/>
                <c:pt idx="0">
                  <c:v>75.883856311231</c:v>
                </c:pt>
                <c:pt idx="1">
                  <c:v>74.219209781446807</c:v>
                </c:pt>
                <c:pt idx="2">
                  <c:v>70.872492802588681</c:v>
                </c:pt>
                <c:pt idx="3">
                  <c:v>70.76942135729891</c:v>
                </c:pt>
                <c:pt idx="4">
                  <c:v>70.358259880580036</c:v>
                </c:pt>
                <c:pt idx="5">
                  <c:v>65.203410178867216</c:v>
                </c:pt>
                <c:pt idx="6">
                  <c:v>62.246422834086744</c:v>
                </c:pt>
                <c:pt idx="7">
                  <c:v>61.130828397547042</c:v>
                </c:pt>
                <c:pt idx="8">
                  <c:v>60.235329612309542</c:v>
                </c:pt>
                <c:pt idx="9">
                  <c:v>57.935500114943785</c:v>
                </c:pt>
                <c:pt idx="10">
                  <c:v>55.557014204321689</c:v>
                </c:pt>
                <c:pt idx="11">
                  <c:v>54.303237993192411</c:v>
                </c:pt>
                <c:pt idx="12">
                  <c:v>53.670766091298233</c:v>
                </c:pt>
                <c:pt idx="13">
                  <c:v>52.843014957729579</c:v>
                </c:pt>
                <c:pt idx="14">
                  <c:v>50.813767122155944</c:v>
                </c:pt>
                <c:pt idx="15">
                  <c:v>45.023604326727053</c:v>
                </c:pt>
                <c:pt idx="16">
                  <c:v>44.857615052123066</c:v>
                </c:pt>
                <c:pt idx="17">
                  <c:v>44.758410516193116</c:v>
                </c:pt>
                <c:pt idx="18">
                  <c:v>43.395109242702354</c:v>
                </c:pt>
                <c:pt idx="19">
                  <c:v>40.355479173262175</c:v>
                </c:pt>
                <c:pt idx="20">
                  <c:v>37.697721084910548</c:v>
                </c:pt>
                <c:pt idx="21">
                  <c:v>36.550428268137338</c:v>
                </c:pt>
                <c:pt idx="22">
                  <c:v>36.245005945203786</c:v>
                </c:pt>
                <c:pt idx="23">
                  <c:v>33.749492488834754</c:v>
                </c:pt>
                <c:pt idx="24">
                  <c:v>30.452464055845528</c:v>
                </c:pt>
                <c:pt idx="25">
                  <c:v>29.403341288782816</c:v>
                </c:pt>
                <c:pt idx="26">
                  <c:v>28.686056105610561</c:v>
                </c:pt>
                <c:pt idx="27">
                  <c:v>28.409951771262271</c:v>
                </c:pt>
                <c:pt idx="28">
                  <c:v>24.72309144191129</c:v>
                </c:pt>
                <c:pt idx="29">
                  <c:v>21.988602279544093</c:v>
                </c:pt>
                <c:pt idx="30">
                  <c:v>17.931555651516788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6-4752-84DF-29BFF530B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688943"/>
        <c:axId val="1"/>
      </c:barChart>
      <c:catAx>
        <c:axId val="81868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86889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5.9383827021622293E-3"/>
          <c:y val="7.310157131392549E-3"/>
          <c:w val="0.17221434820647422"/>
          <c:h val="4.239903542337857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2017: Nově nastupující studenti do vyššího sekundárního vzdělávání - všeobecného a odborného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Nejnovejsi_po_rocich!$E$13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Nejnovejsi_po_rocich!$D$14:$D$47</c:f>
              <c:strCache>
                <c:ptCount val="34"/>
                <c:pt idx="0">
                  <c:v>Slovenia</c:v>
                </c:pt>
                <c:pt idx="1">
                  <c:v>Serbia</c:v>
                </c:pt>
                <c:pt idx="2">
                  <c:v>Czechia</c:v>
                </c:pt>
                <c:pt idx="3">
                  <c:v>Croatia</c:v>
                </c:pt>
                <c:pt idx="4">
                  <c:v>Slovakia</c:v>
                </c:pt>
                <c:pt idx="5">
                  <c:v>Austria</c:v>
                </c:pt>
                <c:pt idx="6">
                  <c:v>Luxembourg</c:v>
                </c:pt>
                <c:pt idx="7">
                  <c:v>Finland</c:v>
                </c:pt>
                <c:pt idx="8">
                  <c:v>United Kingdom</c:v>
                </c:pt>
                <c:pt idx="9">
                  <c:v>Liechtenstein</c:v>
                </c:pt>
                <c:pt idx="10">
                  <c:v>Romania</c:v>
                </c:pt>
                <c:pt idx="11">
                  <c:v>Switzerland</c:v>
                </c:pt>
                <c:pt idx="12">
                  <c:v>Hungary</c:v>
                </c:pt>
                <c:pt idx="13">
                  <c:v>Netherlands</c:v>
                </c:pt>
                <c:pt idx="14">
                  <c:v>Ireland</c:v>
                </c:pt>
                <c:pt idx="15">
                  <c:v>Bulgaria</c:v>
                </c:pt>
                <c:pt idx="16">
                  <c:v>Italy</c:v>
                </c:pt>
                <c:pt idx="17">
                  <c:v>Poland</c:v>
                </c:pt>
                <c:pt idx="18">
                  <c:v>Germany (until 1990 former territory of the FRG)</c:v>
                </c:pt>
                <c:pt idx="19">
                  <c:v>Turkey</c:v>
                </c:pt>
                <c:pt idx="20">
                  <c:v>Estonia</c:v>
                </c:pt>
                <c:pt idx="21">
                  <c:v>Norway</c:v>
                </c:pt>
                <c:pt idx="22">
                  <c:v>Latvia</c:v>
                </c:pt>
                <c:pt idx="23">
                  <c:v>Portugal</c:v>
                </c:pt>
                <c:pt idx="24">
                  <c:v>Spain</c:v>
                </c:pt>
                <c:pt idx="25">
                  <c:v>France</c:v>
                </c:pt>
                <c:pt idx="26">
                  <c:v>Belgium</c:v>
                </c:pt>
                <c:pt idx="27">
                  <c:v>Malta</c:v>
                </c:pt>
                <c:pt idx="28">
                  <c:v>Denmark</c:v>
                </c:pt>
                <c:pt idx="29">
                  <c:v>Sweden</c:v>
                </c:pt>
                <c:pt idx="30">
                  <c:v>Iceland</c:v>
                </c:pt>
                <c:pt idx="31">
                  <c:v>Greece</c:v>
                </c:pt>
                <c:pt idx="32">
                  <c:v>Lithuania</c:v>
                </c:pt>
                <c:pt idx="33">
                  <c:v>Cyprus</c:v>
                </c:pt>
              </c:strCache>
            </c:strRef>
          </c:cat>
          <c:val>
            <c:numRef>
              <c:f>Nejnovejsi_po_rocich!$E$14:$E$47</c:f>
              <c:numCache>
                <c:formatCode>General</c:formatCode>
                <c:ptCount val="34"/>
                <c:pt idx="0">
                  <c:v>24.581729212391608</c:v>
                </c:pt>
                <c:pt idx="1">
                  <c:v>26.205283964902133</c:v>
                </c:pt>
                <c:pt idx="2">
                  <c:v>28.794195015381874</c:v>
                </c:pt>
                <c:pt idx="3">
                  <c:v>29.308639533158598</c:v>
                </c:pt>
                <c:pt idx="4">
                  <c:v>29.548327294177131</c:v>
                </c:pt>
                <c:pt idx="5">
                  <c:v>37.546368174930038</c:v>
                </c:pt>
                <c:pt idx="6">
                  <c:v>38.34749034749035</c:v>
                </c:pt>
                <c:pt idx="7">
                  <c:v>38.426984091063389</c:v>
                </c:pt>
                <c:pt idx="8">
                  <c:v>39.545136955430216</c:v>
                </c:pt>
                <c:pt idx="9">
                  <c:v>40.603248259860791</c:v>
                </c:pt>
                <c:pt idx="10">
                  <c:v>42.812602189822172</c:v>
                </c:pt>
                <c:pt idx="11">
                  <c:v>44.890660308535438</c:v>
                </c:pt>
                <c:pt idx="12">
                  <c:v>45.477456052391048</c:v>
                </c:pt>
                <c:pt idx="13">
                  <c:v>45.561004442227947</c:v>
                </c:pt>
                <c:pt idx="14">
                  <c:v>45.635929543837896</c:v>
                </c:pt>
                <c:pt idx="15">
                  <c:v>46.701672166946793</c:v>
                </c:pt>
                <c:pt idx="16">
                  <c:v>47.32508408093824</c:v>
                </c:pt>
                <c:pt idx="17">
                  <c:v>47.571083011957072</c:v>
                </c:pt>
                <c:pt idx="18">
                  <c:v>51.092902428417752</c:v>
                </c:pt>
                <c:pt idx="19">
                  <c:v>52.606832238470695</c:v>
                </c:pt>
                <c:pt idx="20">
                  <c:v>55.220984099161136</c:v>
                </c:pt>
                <c:pt idx="21">
                  <c:v>55.589178447224604</c:v>
                </c:pt>
                <c:pt idx="22">
                  <c:v>59.241189844638122</c:v>
                </c:pt>
                <c:pt idx="23">
                  <c:v>63.177267092590824</c:v>
                </c:pt>
                <c:pt idx="24">
                  <c:v>63.456584892151461</c:v>
                </c:pt>
                <c:pt idx="25">
                  <c:v>63.928158390875438</c:v>
                </c:pt>
                <c:pt idx="26">
                  <c:v>65.737330054822564</c:v>
                </c:pt>
                <c:pt idx="27">
                  <c:v>66.522847617179835</c:v>
                </c:pt>
                <c:pt idx="28">
                  <c:v>68.361006082525066</c:v>
                </c:pt>
                <c:pt idx="29">
                  <c:v>69.8110919069711</c:v>
                </c:pt>
                <c:pt idx="30">
                  <c:v>69.965590693101746</c:v>
                </c:pt>
                <c:pt idx="31">
                  <c:v>70.046112281992166</c:v>
                </c:pt>
                <c:pt idx="32">
                  <c:v>79.475503556471452</c:v>
                </c:pt>
                <c:pt idx="33">
                  <c:v>82.39050072812816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1-4D6A-A06B-9DC49D238E53}"/>
            </c:ext>
          </c:extLst>
        </c:ser>
        <c:ser>
          <c:idx val="1"/>
          <c:order val="1"/>
          <c:tx>
            <c:strRef>
              <c:f>Nejnovejsi_po_rocich!$F$13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Nejnovejsi_po_rocich!$D$14:$D$47</c:f>
              <c:strCache>
                <c:ptCount val="34"/>
                <c:pt idx="0">
                  <c:v>Slovenia</c:v>
                </c:pt>
                <c:pt idx="1">
                  <c:v>Serbia</c:v>
                </c:pt>
                <c:pt idx="2">
                  <c:v>Czechia</c:v>
                </c:pt>
                <c:pt idx="3">
                  <c:v>Croatia</c:v>
                </c:pt>
                <c:pt idx="4">
                  <c:v>Slovakia</c:v>
                </c:pt>
                <c:pt idx="5">
                  <c:v>Austria</c:v>
                </c:pt>
                <c:pt idx="6">
                  <c:v>Luxembourg</c:v>
                </c:pt>
                <c:pt idx="7">
                  <c:v>Finland</c:v>
                </c:pt>
                <c:pt idx="8">
                  <c:v>United Kingdom</c:v>
                </c:pt>
                <c:pt idx="9">
                  <c:v>Liechtenstein</c:v>
                </c:pt>
                <c:pt idx="10">
                  <c:v>Romania</c:v>
                </c:pt>
                <c:pt idx="11">
                  <c:v>Switzerland</c:v>
                </c:pt>
                <c:pt idx="12">
                  <c:v>Hungary</c:v>
                </c:pt>
                <c:pt idx="13">
                  <c:v>Netherlands</c:v>
                </c:pt>
                <c:pt idx="14">
                  <c:v>Ireland</c:v>
                </c:pt>
                <c:pt idx="15">
                  <c:v>Bulgaria</c:v>
                </c:pt>
                <c:pt idx="16">
                  <c:v>Italy</c:v>
                </c:pt>
                <c:pt idx="17">
                  <c:v>Poland</c:v>
                </c:pt>
                <c:pt idx="18">
                  <c:v>Germany (until 1990 former territory of the FRG)</c:v>
                </c:pt>
                <c:pt idx="19">
                  <c:v>Turkey</c:v>
                </c:pt>
                <c:pt idx="20">
                  <c:v>Estonia</c:v>
                </c:pt>
                <c:pt idx="21">
                  <c:v>Norway</c:v>
                </c:pt>
                <c:pt idx="22">
                  <c:v>Latvia</c:v>
                </c:pt>
                <c:pt idx="23">
                  <c:v>Portugal</c:v>
                </c:pt>
                <c:pt idx="24">
                  <c:v>Spain</c:v>
                </c:pt>
                <c:pt idx="25">
                  <c:v>France</c:v>
                </c:pt>
                <c:pt idx="26">
                  <c:v>Belgium</c:v>
                </c:pt>
                <c:pt idx="27">
                  <c:v>Malta</c:v>
                </c:pt>
                <c:pt idx="28">
                  <c:v>Denmark</c:v>
                </c:pt>
                <c:pt idx="29">
                  <c:v>Sweden</c:v>
                </c:pt>
                <c:pt idx="30">
                  <c:v>Iceland</c:v>
                </c:pt>
                <c:pt idx="31">
                  <c:v>Greece</c:v>
                </c:pt>
                <c:pt idx="32">
                  <c:v>Lithuania</c:v>
                </c:pt>
                <c:pt idx="33">
                  <c:v>Cyprus</c:v>
                </c:pt>
              </c:strCache>
            </c:strRef>
          </c:cat>
          <c:val>
            <c:numRef>
              <c:f>Nejnovejsi_po_rocich!$F$14:$F$47</c:f>
              <c:numCache>
                <c:formatCode>General</c:formatCode>
                <c:ptCount val="34"/>
                <c:pt idx="0">
                  <c:v>75.418270787608392</c:v>
                </c:pt>
                <c:pt idx="1">
                  <c:v>73.794716035097863</c:v>
                </c:pt>
                <c:pt idx="2">
                  <c:v>71.205804984618126</c:v>
                </c:pt>
                <c:pt idx="3">
                  <c:v>70.691360466841402</c:v>
                </c:pt>
                <c:pt idx="4">
                  <c:v>70.451672705822872</c:v>
                </c:pt>
                <c:pt idx="5">
                  <c:v>62.453631825069955</c:v>
                </c:pt>
                <c:pt idx="6">
                  <c:v>61.65250965250965</c:v>
                </c:pt>
                <c:pt idx="7">
                  <c:v>61.573015908936618</c:v>
                </c:pt>
                <c:pt idx="8">
                  <c:v>60.454863044569791</c:v>
                </c:pt>
                <c:pt idx="9">
                  <c:v>59.396751740139216</c:v>
                </c:pt>
                <c:pt idx="10">
                  <c:v>57.187397810177821</c:v>
                </c:pt>
                <c:pt idx="11">
                  <c:v>55.109339691464562</c:v>
                </c:pt>
                <c:pt idx="12">
                  <c:v>54.522543947608945</c:v>
                </c:pt>
                <c:pt idx="13">
                  <c:v>54.438995557772053</c:v>
                </c:pt>
                <c:pt idx="14">
                  <c:v>54.364070456162096</c:v>
                </c:pt>
                <c:pt idx="15">
                  <c:v>53.298327833053207</c:v>
                </c:pt>
                <c:pt idx="16">
                  <c:v>52.67491591906176</c:v>
                </c:pt>
                <c:pt idx="17">
                  <c:v>52.428916988042921</c:v>
                </c:pt>
                <c:pt idx="18">
                  <c:v>48.907097571582248</c:v>
                </c:pt>
                <c:pt idx="19">
                  <c:v>47.393167761529313</c:v>
                </c:pt>
                <c:pt idx="20">
                  <c:v>44.779015900838857</c:v>
                </c:pt>
                <c:pt idx="21">
                  <c:v>44.410821552775396</c:v>
                </c:pt>
                <c:pt idx="22">
                  <c:v>40.758810155361878</c:v>
                </c:pt>
                <c:pt idx="23">
                  <c:v>36.822732907409168</c:v>
                </c:pt>
                <c:pt idx="24">
                  <c:v>36.543415107848546</c:v>
                </c:pt>
                <c:pt idx="25">
                  <c:v>36.071841609124562</c:v>
                </c:pt>
                <c:pt idx="26">
                  <c:v>34.262669945177429</c:v>
                </c:pt>
                <c:pt idx="27">
                  <c:v>33.477152382820158</c:v>
                </c:pt>
                <c:pt idx="28">
                  <c:v>31.638993917474927</c:v>
                </c:pt>
                <c:pt idx="29">
                  <c:v>30.188908093028896</c:v>
                </c:pt>
                <c:pt idx="30">
                  <c:v>30.034409306898247</c:v>
                </c:pt>
                <c:pt idx="31">
                  <c:v>29.953887718007834</c:v>
                </c:pt>
                <c:pt idx="32">
                  <c:v>20.524496443528552</c:v>
                </c:pt>
                <c:pt idx="33">
                  <c:v>17.609499271871851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F1-4D6A-A06B-9DC49D238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707743"/>
        <c:axId val="1"/>
      </c:barChart>
      <c:catAx>
        <c:axId val="81870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87077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5.4886861609259189E-3"/>
          <c:y val="0.63510824444816738"/>
          <c:w val="0.15917074242371687"/>
          <c:h val="0.67721486941791853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2018 Entrants</a:t>
            </a:r>
            <a:endParaRPr lang="en-GB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'General and Vocational_years'!$B$13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'General and Vocational_years'!$A$14:$A$47</c:f>
              <c:strCache>
                <c:ptCount val="34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 (until 1990 former territory of the FRG)</c:v>
                </c:pt>
                <c:pt idx="5">
                  <c:v>Estonia</c:v>
                </c:pt>
                <c:pt idx="6">
                  <c:v>Ireland</c:v>
                </c:pt>
                <c:pt idx="7">
                  <c:v>Greece</c:v>
                </c:pt>
                <c:pt idx="8">
                  <c:v>Spain</c:v>
                </c:pt>
                <c:pt idx="9">
                  <c:v>France</c:v>
                </c:pt>
                <c:pt idx="10">
                  <c:v>Croatia</c:v>
                </c:pt>
                <c:pt idx="11">
                  <c:v>Italy</c:v>
                </c:pt>
                <c:pt idx="12">
                  <c:v>Cyprus</c:v>
                </c:pt>
                <c:pt idx="13">
                  <c:v>Latvia</c:v>
                </c:pt>
                <c:pt idx="14">
                  <c:v>Lithuania</c:v>
                </c:pt>
                <c:pt idx="15">
                  <c:v>Luxembourg</c:v>
                </c:pt>
                <c:pt idx="16">
                  <c:v>Hungary</c:v>
                </c:pt>
                <c:pt idx="17">
                  <c:v>Malta</c:v>
                </c:pt>
                <c:pt idx="18">
                  <c:v>Netherlands</c:v>
                </c:pt>
                <c:pt idx="19">
                  <c:v>Austria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Slovenia</c:v>
                </c:pt>
                <c:pt idx="24">
                  <c:v>Slovakia</c:v>
                </c:pt>
                <c:pt idx="25">
                  <c:v>Finland</c:v>
                </c:pt>
                <c:pt idx="26">
                  <c:v>Sweden</c:v>
                </c:pt>
                <c:pt idx="27">
                  <c:v>United Kingdom</c:v>
                </c:pt>
                <c:pt idx="28">
                  <c:v>Iceland</c:v>
                </c:pt>
                <c:pt idx="29">
                  <c:v>Liechtenstein</c:v>
                </c:pt>
                <c:pt idx="30">
                  <c:v>Norway</c:v>
                </c:pt>
                <c:pt idx="31">
                  <c:v>Switzerland</c:v>
                </c:pt>
                <c:pt idx="32">
                  <c:v>Serbia</c:v>
                </c:pt>
                <c:pt idx="33">
                  <c:v>Turkey</c:v>
                </c:pt>
              </c:strCache>
            </c:strRef>
          </c:cat>
          <c:val>
            <c:numRef>
              <c:f>'General and Vocational_years'!$B$14:$B$47</c:f>
              <c:numCache>
                <c:formatCode>#,##0</c:formatCode>
                <c:ptCount val="34"/>
                <c:pt idx="0">
                  <c:v>68708</c:v>
                </c:pt>
                <c:pt idx="1">
                  <c:v>38067</c:v>
                </c:pt>
                <c:pt idx="2">
                  <c:v>25833</c:v>
                </c:pt>
                <c:pt idx="3">
                  <c:v>62376</c:v>
                </c:pt>
                <c:pt idx="4">
                  <c:v>468783</c:v>
                </c:pt>
                <c:pt idx="5">
                  <c:v>8821</c:v>
                </c:pt>
                <c:pt idx="6">
                  <c:v>64798</c:v>
                </c:pt>
                <c:pt idx="7">
                  <c:v>99041</c:v>
                </c:pt>
                <c:pt idx="8">
                  <c:v>385540</c:v>
                </c:pt>
                <c:pt idx="9">
                  <c:v>545584</c:v>
                </c:pt>
                <c:pt idx="10">
                  <c:v>11853</c:v>
                </c:pt>
                <c:pt idx="11">
                  <c:v>300422</c:v>
                </c:pt>
                <c:pt idx="12">
                  <c:v>7355</c:v>
                </c:pt>
                <c:pt idx="13">
                  <c:v>12507</c:v>
                </c:pt>
                <c:pt idx="14">
                  <c:v>23911</c:v>
                </c:pt>
                <c:pt idx="15">
                  <c:v>2483</c:v>
                </c:pt>
                <c:pt idx="16">
                  <c:v>51249</c:v>
                </c:pt>
                <c:pt idx="17">
                  <c:v>6784</c:v>
                </c:pt>
                <c:pt idx="18">
                  <c:v>98666</c:v>
                </c:pt>
                <c:pt idx="19">
                  <c:v>40386</c:v>
                </c:pt>
                <c:pt idx="20">
                  <c:v>152217</c:v>
                </c:pt>
                <c:pt idx="21">
                  <c:v>66254</c:v>
                </c:pt>
                <c:pt idx="22">
                  <c:v>75935</c:v>
                </c:pt>
                <c:pt idx="23">
                  <c:v>6832</c:v>
                </c:pt>
                <c:pt idx="24">
                  <c:v>14026</c:v>
                </c:pt>
                <c:pt idx="25">
                  <c:v>33961</c:v>
                </c:pt>
                <c:pt idx="26">
                  <c:v>92092</c:v>
                </c:pt>
                <c:pt idx="27">
                  <c:v>708045</c:v>
                </c:pt>
                <c:pt idx="28">
                  <c:v>4270</c:v>
                </c:pt>
                <c:pt idx="29">
                  <c:v>175</c:v>
                </c:pt>
                <c:pt idx="30">
                  <c:v>36924</c:v>
                </c:pt>
                <c:pt idx="31">
                  <c:v>50458</c:v>
                </c:pt>
                <c:pt idx="32">
                  <c:v>65226</c:v>
                </c:pt>
                <c:pt idx="33">
                  <c:v>711923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D-4554-B488-4756A1FFC6B3}"/>
            </c:ext>
          </c:extLst>
        </c:ser>
        <c:ser>
          <c:idx val="1"/>
          <c:order val="1"/>
          <c:tx>
            <c:strRef>
              <c:f>'General and Vocational_years'!$C$13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'General and Vocational_years'!$A$14:$A$47</c:f>
              <c:strCache>
                <c:ptCount val="34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 (until 1990 former territory of the FRG)</c:v>
                </c:pt>
                <c:pt idx="5">
                  <c:v>Estonia</c:v>
                </c:pt>
                <c:pt idx="6">
                  <c:v>Ireland</c:v>
                </c:pt>
                <c:pt idx="7">
                  <c:v>Greece</c:v>
                </c:pt>
                <c:pt idx="8">
                  <c:v>Spain</c:v>
                </c:pt>
                <c:pt idx="9">
                  <c:v>France</c:v>
                </c:pt>
                <c:pt idx="10">
                  <c:v>Croatia</c:v>
                </c:pt>
                <c:pt idx="11">
                  <c:v>Italy</c:v>
                </c:pt>
                <c:pt idx="12">
                  <c:v>Cyprus</c:v>
                </c:pt>
                <c:pt idx="13">
                  <c:v>Latvia</c:v>
                </c:pt>
                <c:pt idx="14">
                  <c:v>Lithuania</c:v>
                </c:pt>
                <c:pt idx="15">
                  <c:v>Luxembourg</c:v>
                </c:pt>
                <c:pt idx="16">
                  <c:v>Hungary</c:v>
                </c:pt>
                <c:pt idx="17">
                  <c:v>Malta</c:v>
                </c:pt>
                <c:pt idx="18">
                  <c:v>Netherlands</c:v>
                </c:pt>
                <c:pt idx="19">
                  <c:v>Austria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Slovenia</c:v>
                </c:pt>
                <c:pt idx="24">
                  <c:v>Slovakia</c:v>
                </c:pt>
                <c:pt idx="25">
                  <c:v>Finland</c:v>
                </c:pt>
                <c:pt idx="26">
                  <c:v>Sweden</c:v>
                </c:pt>
                <c:pt idx="27">
                  <c:v>United Kingdom</c:v>
                </c:pt>
                <c:pt idx="28">
                  <c:v>Iceland</c:v>
                </c:pt>
                <c:pt idx="29">
                  <c:v>Liechtenstein</c:v>
                </c:pt>
                <c:pt idx="30">
                  <c:v>Norway</c:v>
                </c:pt>
                <c:pt idx="31">
                  <c:v>Switzerland</c:v>
                </c:pt>
                <c:pt idx="32">
                  <c:v>Serbia</c:v>
                </c:pt>
                <c:pt idx="33">
                  <c:v>Turkey</c:v>
                </c:pt>
              </c:strCache>
            </c:strRef>
          </c:cat>
          <c:val>
            <c:numRef>
              <c:f>'General and Vocational_years'!$C$14:$C$47</c:f>
              <c:numCache>
                <c:formatCode>#,##0</c:formatCode>
                <c:ptCount val="34"/>
                <c:pt idx="0">
                  <c:v>35811</c:v>
                </c:pt>
                <c:pt idx="1">
                  <c:v>43444</c:v>
                </c:pt>
                <c:pt idx="2">
                  <c:v>63883</c:v>
                </c:pt>
                <c:pt idx="3">
                  <c:v>28869</c:v>
                </c:pt>
                <c:pt idx="4">
                  <c:v>448728</c:v>
                </c:pt>
                <c:pt idx="5">
                  <c:v>7153</c:v>
                </c:pt>
                <c:pt idx="6">
                  <c:v>77191</c:v>
                </c:pt>
                <c:pt idx="7">
                  <c:v>42353</c:v>
                </c:pt>
                <c:pt idx="8">
                  <c:v>222025</c:v>
                </c:pt>
                <c:pt idx="9">
                  <c:v>307849</c:v>
                </c:pt>
                <c:pt idx="10">
                  <c:v>28589</c:v>
                </c:pt>
                <c:pt idx="11">
                  <c:v>334383</c:v>
                </c:pt>
                <c:pt idx="12">
                  <c:v>1572</c:v>
                </c:pt>
                <c:pt idx="13">
                  <c:v>8605</c:v>
                </c:pt>
                <c:pt idx="14">
                  <c:v>6175</c:v>
                </c:pt>
                <c:pt idx="15">
                  <c:v>3992</c:v>
                </c:pt>
                <c:pt idx="16">
                  <c:v>61442</c:v>
                </c:pt>
                <c:pt idx="17">
                  <c:v>3414</c:v>
                </c:pt>
                <c:pt idx="18">
                  <c:v>117892</c:v>
                </c:pt>
                <c:pt idx="19">
                  <c:v>67177</c:v>
                </c:pt>
                <c:pt idx="20">
                  <c:v>167761</c:v>
                </c:pt>
                <c:pt idx="21">
                  <c:v>38616</c:v>
                </c:pt>
                <c:pt idx="22">
                  <c:v>101431</c:v>
                </c:pt>
                <c:pt idx="23">
                  <c:v>20961</c:v>
                </c:pt>
                <c:pt idx="24">
                  <c:v>33442</c:v>
                </c:pt>
                <c:pt idx="25">
                  <c:v>54417</c:v>
                </c:pt>
                <c:pt idx="26">
                  <c:v>39824</c:v>
                </c:pt>
                <c:pt idx="27">
                  <c:v>1082428</c:v>
                </c:pt>
                <c:pt idx="28">
                  <c:v>1833</c:v>
                </c:pt>
                <c:pt idx="29">
                  <c:v>256</c:v>
                </c:pt>
                <c:pt idx="30">
                  <c:v>29499</c:v>
                </c:pt>
                <c:pt idx="31">
                  <c:v>61944</c:v>
                </c:pt>
                <c:pt idx="32">
                  <c:v>183678</c:v>
                </c:pt>
                <c:pt idx="33">
                  <c:v>641367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D-4554-B488-4756A1FFC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698543"/>
        <c:axId val="1"/>
      </c:barChart>
      <c:catAx>
        <c:axId val="81869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86985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6.5791312509777336E-3"/>
          <c:y val="9.1578440335407501E-3"/>
          <c:w val="0.19079550155568303"/>
          <c:h val="5.31152987898984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2017 Entrants</a:t>
            </a:r>
            <a:endParaRPr lang="en-GB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'General and Vocational_years'!$D$14:$D$44</c:f>
              <c:strCache>
                <c:ptCount val="31"/>
                <c:pt idx="0">
                  <c:v>Bulgaria</c:v>
                </c:pt>
                <c:pt idx="1">
                  <c:v>Czechia</c:v>
                </c:pt>
                <c:pt idx="2">
                  <c:v>Denmark</c:v>
                </c:pt>
                <c:pt idx="3">
                  <c:v>Germany (until 1990 former territory of the FRG)</c:v>
                </c:pt>
                <c:pt idx="4">
                  <c:v>Estonia</c:v>
                </c:pt>
                <c:pt idx="5">
                  <c:v>Greece</c:v>
                </c:pt>
                <c:pt idx="6">
                  <c:v>Spain</c:v>
                </c:pt>
                <c:pt idx="7">
                  <c:v>France</c:v>
                </c:pt>
                <c:pt idx="8">
                  <c:v>Croatia</c:v>
                </c:pt>
                <c:pt idx="9">
                  <c:v>Italy</c:v>
                </c:pt>
                <c:pt idx="10">
                  <c:v>Cyprus</c:v>
                </c:pt>
                <c:pt idx="11">
                  <c:v>Latvia</c:v>
                </c:pt>
                <c:pt idx="12">
                  <c:v>Lithuania</c:v>
                </c:pt>
                <c:pt idx="13">
                  <c:v>Luxembourg</c:v>
                </c:pt>
                <c:pt idx="14">
                  <c:v>Hungary</c:v>
                </c:pt>
                <c:pt idx="15">
                  <c:v>Malta</c:v>
                </c:pt>
                <c:pt idx="16">
                  <c:v>Netherlands</c:v>
                </c:pt>
                <c:pt idx="17">
                  <c:v>Austria</c:v>
                </c:pt>
                <c:pt idx="18">
                  <c:v>Poland</c:v>
                </c:pt>
                <c:pt idx="19">
                  <c:v>Portugal</c:v>
                </c:pt>
                <c:pt idx="20">
                  <c:v>Romania</c:v>
                </c:pt>
                <c:pt idx="21">
                  <c:v>Slovenia</c:v>
                </c:pt>
                <c:pt idx="22">
                  <c:v>Slovakia</c:v>
                </c:pt>
                <c:pt idx="23">
                  <c:v>Finland</c:v>
                </c:pt>
                <c:pt idx="24">
                  <c:v>Sweden</c:v>
                </c:pt>
                <c:pt idx="25">
                  <c:v>United Kingdom</c:v>
                </c:pt>
                <c:pt idx="26">
                  <c:v>Iceland</c:v>
                </c:pt>
                <c:pt idx="27">
                  <c:v>Norway</c:v>
                </c:pt>
                <c:pt idx="28">
                  <c:v>Switzerland</c:v>
                </c:pt>
                <c:pt idx="29">
                  <c:v>Serbia</c:v>
                </c:pt>
                <c:pt idx="30">
                  <c:v>Turkey</c:v>
                </c:pt>
              </c:strCache>
            </c:strRef>
          </c:cat>
          <c:val>
            <c:numRef>
              <c:f>'General and Vocational_years'!$E$14:$E$44</c:f>
              <c:numCache>
                <c:formatCode>#,##0</c:formatCode>
                <c:ptCount val="31"/>
                <c:pt idx="0">
                  <c:v>29768</c:v>
                </c:pt>
                <c:pt idx="1">
                  <c:v>25955</c:v>
                </c:pt>
                <c:pt idx="2">
                  <c:v>65157</c:v>
                </c:pt>
                <c:pt idx="3">
                  <c:v>550129</c:v>
                </c:pt>
                <c:pt idx="4">
                  <c:v>8675</c:v>
                </c:pt>
                <c:pt idx="5">
                  <c:v>103719</c:v>
                </c:pt>
                <c:pt idx="6">
                  <c:v>381230</c:v>
                </c:pt>
                <c:pt idx="7">
                  <c:v>546021</c:v>
                </c:pt>
                <c:pt idx="8">
                  <c:v>12242</c:v>
                </c:pt>
                <c:pt idx="9">
                  <c:v>288439</c:v>
                </c:pt>
                <c:pt idx="10">
                  <c:v>7602</c:v>
                </c:pt>
                <c:pt idx="11">
                  <c:v>13188</c:v>
                </c:pt>
                <c:pt idx="12">
                  <c:v>26009</c:v>
                </c:pt>
                <c:pt idx="13">
                  <c:v>2636</c:v>
                </c:pt>
                <c:pt idx="14">
                  <c:v>90933</c:v>
                </c:pt>
                <c:pt idx="15">
                  <c:v>6527</c:v>
                </c:pt>
                <c:pt idx="16">
                  <c:v>98944</c:v>
                </c:pt>
                <c:pt idx="17">
                  <c:v>40422</c:v>
                </c:pt>
                <c:pt idx="18">
                  <c:v>153473</c:v>
                </c:pt>
                <c:pt idx="19">
                  <c:v>66132</c:v>
                </c:pt>
                <c:pt idx="20">
                  <c:v>76851</c:v>
                </c:pt>
                <c:pt idx="21">
                  <c:v>6794</c:v>
                </c:pt>
                <c:pt idx="22">
                  <c:v>14595</c:v>
                </c:pt>
                <c:pt idx="23">
                  <c:v>33403</c:v>
                </c:pt>
                <c:pt idx="24">
                  <c:v>95446</c:v>
                </c:pt>
                <c:pt idx="25">
                  <c:v>686916</c:v>
                </c:pt>
                <c:pt idx="26">
                  <c:v>4437</c:v>
                </c:pt>
                <c:pt idx="27">
                  <c:v>38240</c:v>
                </c:pt>
                <c:pt idx="28">
                  <c:v>50781</c:v>
                </c:pt>
                <c:pt idx="29">
                  <c:v>64395</c:v>
                </c:pt>
                <c:pt idx="30">
                  <c:v>768031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E-4C1B-A475-A954FC510F05}"/>
            </c:ext>
          </c:extLst>
        </c:ser>
        <c:ser>
          <c:idx val="1"/>
          <c:order val="1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'General and Vocational_years'!$D$14:$D$44</c:f>
              <c:strCache>
                <c:ptCount val="31"/>
                <c:pt idx="0">
                  <c:v>Bulgaria</c:v>
                </c:pt>
                <c:pt idx="1">
                  <c:v>Czechia</c:v>
                </c:pt>
                <c:pt idx="2">
                  <c:v>Denmark</c:v>
                </c:pt>
                <c:pt idx="3">
                  <c:v>Germany (until 1990 former territory of the FRG)</c:v>
                </c:pt>
                <c:pt idx="4">
                  <c:v>Estonia</c:v>
                </c:pt>
                <c:pt idx="5">
                  <c:v>Greece</c:v>
                </c:pt>
                <c:pt idx="6">
                  <c:v>Spain</c:v>
                </c:pt>
                <c:pt idx="7">
                  <c:v>France</c:v>
                </c:pt>
                <c:pt idx="8">
                  <c:v>Croatia</c:v>
                </c:pt>
                <c:pt idx="9">
                  <c:v>Italy</c:v>
                </c:pt>
                <c:pt idx="10">
                  <c:v>Cyprus</c:v>
                </c:pt>
                <c:pt idx="11">
                  <c:v>Latvia</c:v>
                </c:pt>
                <c:pt idx="12">
                  <c:v>Lithuania</c:v>
                </c:pt>
                <c:pt idx="13">
                  <c:v>Luxembourg</c:v>
                </c:pt>
                <c:pt idx="14">
                  <c:v>Hungary</c:v>
                </c:pt>
                <c:pt idx="15">
                  <c:v>Malta</c:v>
                </c:pt>
                <c:pt idx="16">
                  <c:v>Netherlands</c:v>
                </c:pt>
                <c:pt idx="17">
                  <c:v>Austria</c:v>
                </c:pt>
                <c:pt idx="18">
                  <c:v>Poland</c:v>
                </c:pt>
                <c:pt idx="19">
                  <c:v>Portugal</c:v>
                </c:pt>
                <c:pt idx="20">
                  <c:v>Romania</c:v>
                </c:pt>
                <c:pt idx="21">
                  <c:v>Slovenia</c:v>
                </c:pt>
                <c:pt idx="22">
                  <c:v>Slovakia</c:v>
                </c:pt>
                <c:pt idx="23">
                  <c:v>Finland</c:v>
                </c:pt>
                <c:pt idx="24">
                  <c:v>Sweden</c:v>
                </c:pt>
                <c:pt idx="25">
                  <c:v>United Kingdom</c:v>
                </c:pt>
                <c:pt idx="26">
                  <c:v>Iceland</c:v>
                </c:pt>
                <c:pt idx="27">
                  <c:v>Norway</c:v>
                </c:pt>
                <c:pt idx="28">
                  <c:v>Switzerland</c:v>
                </c:pt>
                <c:pt idx="29">
                  <c:v>Serbia</c:v>
                </c:pt>
                <c:pt idx="30">
                  <c:v>Turkey</c:v>
                </c:pt>
              </c:strCache>
            </c:strRef>
          </c:cat>
          <c:val>
            <c:numRef>
              <c:f>'General and Vocational_years'!$F$14:$F$44</c:f>
              <c:numCache>
                <c:formatCode>#,##0</c:formatCode>
                <c:ptCount val="31"/>
                <c:pt idx="0">
                  <c:v>30753</c:v>
                </c:pt>
                <c:pt idx="1">
                  <c:v>62839</c:v>
                </c:pt>
                <c:pt idx="2">
                  <c:v>28530</c:v>
                </c:pt>
                <c:pt idx="3">
                  <c:v>450535</c:v>
                </c:pt>
                <c:pt idx="4">
                  <c:v>7057</c:v>
                </c:pt>
                <c:pt idx="5">
                  <c:v>41721</c:v>
                </c:pt>
                <c:pt idx="6">
                  <c:v>216731</c:v>
                </c:pt>
                <c:pt idx="7">
                  <c:v>314538</c:v>
                </c:pt>
                <c:pt idx="8">
                  <c:v>29787</c:v>
                </c:pt>
                <c:pt idx="9">
                  <c:v>323218</c:v>
                </c:pt>
                <c:pt idx="10">
                  <c:v>1661</c:v>
                </c:pt>
                <c:pt idx="11">
                  <c:v>8923</c:v>
                </c:pt>
                <c:pt idx="12">
                  <c:v>7331</c:v>
                </c:pt>
                <c:pt idx="13">
                  <c:v>3993</c:v>
                </c:pt>
                <c:pt idx="14">
                  <c:v>29865</c:v>
                </c:pt>
                <c:pt idx="15">
                  <c:v>3325</c:v>
                </c:pt>
                <c:pt idx="16">
                  <c:v>117579</c:v>
                </c:pt>
                <c:pt idx="17">
                  <c:v>66646</c:v>
                </c:pt>
                <c:pt idx="18">
                  <c:v>177793</c:v>
                </c:pt>
                <c:pt idx="19">
                  <c:v>40015</c:v>
                </c:pt>
                <c:pt idx="20">
                  <c:v>105847</c:v>
                </c:pt>
                <c:pt idx="21">
                  <c:v>21378</c:v>
                </c:pt>
                <c:pt idx="22">
                  <c:v>34643</c:v>
                </c:pt>
                <c:pt idx="23">
                  <c:v>52534</c:v>
                </c:pt>
                <c:pt idx="24">
                  <c:v>37877</c:v>
                </c:pt>
                <c:pt idx="25">
                  <c:v>1287174</c:v>
                </c:pt>
                <c:pt idx="26">
                  <c:v>1848</c:v>
                </c:pt>
                <c:pt idx="27">
                  <c:v>29316</c:v>
                </c:pt>
                <c:pt idx="28">
                  <c:v>63480</c:v>
                </c:pt>
                <c:pt idx="29">
                  <c:v>185384</c:v>
                </c:pt>
                <c:pt idx="30">
                  <c:v>622282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E-4C1B-A475-A954FC51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700143"/>
        <c:axId val="1"/>
      </c:barChart>
      <c:catAx>
        <c:axId val="81870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87001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6.443467293860995E-3"/>
          <c:y val="0.64556451698598405"/>
          <c:w val="0.14046835054709073"/>
          <c:h val="0.6930906308776180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2016 Entrants</a:t>
            </a:r>
            <a:endParaRPr lang="en-GB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'General and Vocational_years'!$G$14:$G$46</c:f>
              <c:strCache>
                <c:ptCount val="33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 (until 1990 former territory of the FRG)</c:v>
                </c:pt>
                <c:pt idx="5">
                  <c:v>Estonia</c:v>
                </c:pt>
                <c:pt idx="6">
                  <c:v>Greece</c:v>
                </c:pt>
                <c:pt idx="7">
                  <c:v>Spain</c:v>
                </c:pt>
                <c:pt idx="8">
                  <c:v>France</c:v>
                </c:pt>
                <c:pt idx="9">
                  <c:v>Croatia</c:v>
                </c:pt>
                <c:pt idx="10">
                  <c:v>Italy</c:v>
                </c:pt>
                <c:pt idx="11">
                  <c:v>Cyprus</c:v>
                </c:pt>
                <c:pt idx="12">
                  <c:v>Latvia</c:v>
                </c:pt>
                <c:pt idx="13">
                  <c:v>Lithuania</c:v>
                </c:pt>
                <c:pt idx="14">
                  <c:v>Luxembourg</c:v>
                </c:pt>
                <c:pt idx="15">
                  <c:v>Hungary</c:v>
                </c:pt>
                <c:pt idx="16">
                  <c:v>Malta</c:v>
                </c:pt>
                <c:pt idx="17">
                  <c:v>Netherlands</c:v>
                </c:pt>
                <c:pt idx="18">
                  <c:v>Austria</c:v>
                </c:pt>
                <c:pt idx="19">
                  <c:v>Poland</c:v>
                </c:pt>
                <c:pt idx="20">
                  <c:v>Portugal</c:v>
                </c:pt>
                <c:pt idx="21">
                  <c:v>Romania</c:v>
                </c:pt>
                <c:pt idx="22">
                  <c:v>Slovenia</c:v>
                </c:pt>
                <c:pt idx="23">
                  <c:v>Slovakia</c:v>
                </c:pt>
                <c:pt idx="24">
                  <c:v>Finland</c:v>
                </c:pt>
                <c:pt idx="25">
                  <c:v>Sweden</c:v>
                </c:pt>
                <c:pt idx="26">
                  <c:v>United Kingdom</c:v>
                </c:pt>
                <c:pt idx="27">
                  <c:v>Iceland</c:v>
                </c:pt>
                <c:pt idx="28">
                  <c:v>Liechtenstein</c:v>
                </c:pt>
                <c:pt idx="29">
                  <c:v>Norway</c:v>
                </c:pt>
                <c:pt idx="30">
                  <c:v>Switzerland</c:v>
                </c:pt>
                <c:pt idx="31">
                  <c:v>Serbia</c:v>
                </c:pt>
                <c:pt idx="32">
                  <c:v>Turkey</c:v>
                </c:pt>
              </c:strCache>
            </c:strRef>
          </c:cat>
          <c:val>
            <c:numRef>
              <c:f>'General and Vocational_years'!$H$14:$H$46</c:f>
              <c:numCache>
                <c:formatCode>#,##0</c:formatCode>
                <c:ptCount val="33"/>
                <c:pt idx="0">
                  <c:v>33190</c:v>
                </c:pt>
                <c:pt idx="1">
                  <c:v>30270</c:v>
                </c:pt>
                <c:pt idx="2">
                  <c:v>25981</c:v>
                </c:pt>
                <c:pt idx="3">
                  <c:v>62374</c:v>
                </c:pt>
                <c:pt idx="4">
                  <c:v>519975</c:v>
                </c:pt>
                <c:pt idx="5">
                  <c:v>8740</c:v>
                </c:pt>
                <c:pt idx="6">
                  <c:v>107146</c:v>
                </c:pt>
                <c:pt idx="7">
                  <c:v>381109</c:v>
                </c:pt>
                <c:pt idx="8">
                  <c:v>537590</c:v>
                </c:pt>
                <c:pt idx="9">
                  <c:v>12627</c:v>
                </c:pt>
                <c:pt idx="10">
                  <c:v>287302</c:v>
                </c:pt>
                <c:pt idx="11">
                  <c:v>7788</c:v>
                </c:pt>
                <c:pt idx="12">
                  <c:v>12917</c:v>
                </c:pt>
                <c:pt idx="13">
                  <c:v>26593</c:v>
                </c:pt>
                <c:pt idx="14">
                  <c:v>2478</c:v>
                </c:pt>
                <c:pt idx="15">
                  <c:v>83530</c:v>
                </c:pt>
                <c:pt idx="16">
                  <c:v>6456</c:v>
                </c:pt>
                <c:pt idx="17">
                  <c:v>97338</c:v>
                </c:pt>
                <c:pt idx="18">
                  <c:v>40729</c:v>
                </c:pt>
                <c:pt idx="19">
                  <c:v>159086</c:v>
                </c:pt>
                <c:pt idx="20">
                  <c:v>67992</c:v>
                </c:pt>
                <c:pt idx="21">
                  <c:v>78745</c:v>
                </c:pt>
                <c:pt idx="22">
                  <c:v>6783</c:v>
                </c:pt>
                <c:pt idx="23">
                  <c:v>15169</c:v>
                </c:pt>
                <c:pt idx="24">
                  <c:v>33055</c:v>
                </c:pt>
                <c:pt idx="25">
                  <c:v>76322</c:v>
                </c:pt>
                <c:pt idx="26">
                  <c:v>694323</c:v>
                </c:pt>
                <c:pt idx="27">
                  <c:v>4235</c:v>
                </c:pt>
                <c:pt idx="28">
                  <c:v>185</c:v>
                </c:pt>
                <c:pt idx="29">
                  <c:v>35528</c:v>
                </c:pt>
                <c:pt idx="30">
                  <c:v>49664</c:v>
                </c:pt>
                <c:pt idx="31">
                  <c:v>64766</c:v>
                </c:pt>
                <c:pt idx="32">
                  <c:v>812555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5-44BA-A084-2E60D32E9E26}"/>
            </c:ext>
          </c:extLst>
        </c:ser>
        <c:ser>
          <c:idx val="1"/>
          <c:order val="1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'General and Vocational_years'!$G$14:$G$46</c:f>
              <c:strCache>
                <c:ptCount val="33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 (until 1990 former territory of the FRG)</c:v>
                </c:pt>
                <c:pt idx="5">
                  <c:v>Estonia</c:v>
                </c:pt>
                <c:pt idx="6">
                  <c:v>Greece</c:v>
                </c:pt>
                <c:pt idx="7">
                  <c:v>Spain</c:v>
                </c:pt>
                <c:pt idx="8">
                  <c:v>France</c:v>
                </c:pt>
                <c:pt idx="9">
                  <c:v>Croatia</c:v>
                </c:pt>
                <c:pt idx="10">
                  <c:v>Italy</c:v>
                </c:pt>
                <c:pt idx="11">
                  <c:v>Cyprus</c:v>
                </c:pt>
                <c:pt idx="12">
                  <c:v>Latvia</c:v>
                </c:pt>
                <c:pt idx="13">
                  <c:v>Lithuania</c:v>
                </c:pt>
                <c:pt idx="14">
                  <c:v>Luxembourg</c:v>
                </c:pt>
                <c:pt idx="15">
                  <c:v>Hungary</c:v>
                </c:pt>
                <c:pt idx="16">
                  <c:v>Malta</c:v>
                </c:pt>
                <c:pt idx="17">
                  <c:v>Netherlands</c:v>
                </c:pt>
                <c:pt idx="18">
                  <c:v>Austria</c:v>
                </c:pt>
                <c:pt idx="19">
                  <c:v>Poland</c:v>
                </c:pt>
                <c:pt idx="20">
                  <c:v>Portugal</c:v>
                </c:pt>
                <c:pt idx="21">
                  <c:v>Romania</c:v>
                </c:pt>
                <c:pt idx="22">
                  <c:v>Slovenia</c:v>
                </c:pt>
                <c:pt idx="23">
                  <c:v>Slovakia</c:v>
                </c:pt>
                <c:pt idx="24">
                  <c:v>Finland</c:v>
                </c:pt>
                <c:pt idx="25">
                  <c:v>Sweden</c:v>
                </c:pt>
                <c:pt idx="26">
                  <c:v>United Kingdom</c:v>
                </c:pt>
                <c:pt idx="27">
                  <c:v>Iceland</c:v>
                </c:pt>
                <c:pt idx="28">
                  <c:v>Liechtenstein</c:v>
                </c:pt>
                <c:pt idx="29">
                  <c:v>Norway</c:v>
                </c:pt>
                <c:pt idx="30">
                  <c:v>Switzerland</c:v>
                </c:pt>
                <c:pt idx="31">
                  <c:v>Serbia</c:v>
                </c:pt>
                <c:pt idx="32">
                  <c:v>Turkey</c:v>
                </c:pt>
              </c:strCache>
            </c:strRef>
          </c:cat>
          <c:val>
            <c:numRef>
              <c:f>'General and Vocational_years'!$I$14:$I$46</c:f>
              <c:numCache>
                <c:formatCode>#,##0</c:formatCode>
                <c:ptCount val="33"/>
                <c:pt idx="0">
                  <c:v>19511</c:v>
                </c:pt>
                <c:pt idx="1">
                  <c:v>32909</c:v>
                </c:pt>
                <c:pt idx="2">
                  <c:v>62722</c:v>
                </c:pt>
                <c:pt idx="3">
                  <c:v>29047</c:v>
                </c:pt>
                <c:pt idx="4">
                  <c:v>463256</c:v>
                </c:pt>
                <c:pt idx="5">
                  <c:v>7270</c:v>
                </c:pt>
                <c:pt idx="6">
                  <c:v>46156</c:v>
                </c:pt>
                <c:pt idx="7">
                  <c:v>206807</c:v>
                </c:pt>
                <c:pt idx="8">
                  <c:v>314651</c:v>
                </c:pt>
                <c:pt idx="9">
                  <c:v>32040</c:v>
                </c:pt>
                <c:pt idx="10">
                  <c:v>336484</c:v>
                </c:pt>
                <c:pt idx="11">
                  <c:v>1727</c:v>
                </c:pt>
                <c:pt idx="12">
                  <c:v>7873</c:v>
                </c:pt>
                <c:pt idx="13">
                  <c:v>7217</c:v>
                </c:pt>
                <c:pt idx="14">
                  <c:v>3977</c:v>
                </c:pt>
                <c:pt idx="15">
                  <c:v>29954</c:v>
                </c:pt>
                <c:pt idx="16">
                  <c:v>3807</c:v>
                </c:pt>
                <c:pt idx="17">
                  <c:v>114158</c:v>
                </c:pt>
                <c:pt idx="18">
                  <c:v>66328</c:v>
                </c:pt>
                <c:pt idx="19">
                  <c:v>179104</c:v>
                </c:pt>
                <c:pt idx="20">
                  <c:v>41629</c:v>
                </c:pt>
                <c:pt idx="21">
                  <c:v>111707</c:v>
                </c:pt>
                <c:pt idx="22">
                  <c:v>23616</c:v>
                </c:pt>
                <c:pt idx="23">
                  <c:v>36443</c:v>
                </c:pt>
                <c:pt idx="24">
                  <c:v>49271</c:v>
                </c:pt>
                <c:pt idx="25">
                  <c:v>36728</c:v>
                </c:pt>
                <c:pt idx="26">
                  <c:v>1194576</c:v>
                </c:pt>
                <c:pt idx="27">
                  <c:v>2042</c:v>
                </c:pt>
                <c:pt idx="28">
                  <c:v>323</c:v>
                </c:pt>
                <c:pt idx="29">
                  <c:v>31725</c:v>
                </c:pt>
                <c:pt idx="30">
                  <c:v>63889</c:v>
                </c:pt>
                <c:pt idx="31">
                  <c:v>188410</c:v>
                </c:pt>
                <c:pt idx="32">
                  <c:v>686384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5-44BA-A084-2E60D32E9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700543"/>
        <c:axId val="1"/>
      </c:barChart>
      <c:catAx>
        <c:axId val="81870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87005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5.8276969197886691E-3"/>
          <c:y val="8.4891732283464572E-3"/>
          <c:w val="0.12704362013502718"/>
          <c:h val="4.923738699329250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4472C4"/>
            </a:solidFill>
            <a:ln w="25400">
              <a:noFill/>
            </a:ln>
          </c:spPr>
          <c:invertIfNegative val="0"/>
          <c:val>
            <c:numRef>
              <c:f>'General and Vocational'!$H$15:$H$50</c:f>
              <c:numCache>
                <c:formatCode>#,##0</c:formatCode>
                <c:ptCount val="36"/>
                <c:pt idx="0">
                  <c:v>68708</c:v>
                </c:pt>
                <c:pt idx="1">
                  <c:v>38067</c:v>
                </c:pt>
                <c:pt idx="2">
                  <c:v>25833</c:v>
                </c:pt>
                <c:pt idx="3">
                  <c:v>62376</c:v>
                </c:pt>
                <c:pt idx="4">
                  <c:v>468783</c:v>
                </c:pt>
                <c:pt idx="5">
                  <c:v>8821</c:v>
                </c:pt>
                <c:pt idx="6">
                  <c:v>64798</c:v>
                </c:pt>
                <c:pt idx="7">
                  <c:v>99041</c:v>
                </c:pt>
                <c:pt idx="8">
                  <c:v>385540</c:v>
                </c:pt>
                <c:pt idx="9">
                  <c:v>545584</c:v>
                </c:pt>
                <c:pt idx="10">
                  <c:v>11853</c:v>
                </c:pt>
                <c:pt idx="11">
                  <c:v>300422</c:v>
                </c:pt>
                <c:pt idx="12">
                  <c:v>7355</c:v>
                </c:pt>
                <c:pt idx="13">
                  <c:v>12507</c:v>
                </c:pt>
                <c:pt idx="14">
                  <c:v>23911</c:v>
                </c:pt>
                <c:pt idx="15">
                  <c:v>2483</c:v>
                </c:pt>
                <c:pt idx="16">
                  <c:v>51249</c:v>
                </c:pt>
                <c:pt idx="17">
                  <c:v>6784</c:v>
                </c:pt>
                <c:pt idx="18">
                  <c:v>98666</c:v>
                </c:pt>
                <c:pt idx="19">
                  <c:v>40386</c:v>
                </c:pt>
                <c:pt idx="20">
                  <c:v>152217</c:v>
                </c:pt>
                <c:pt idx="21">
                  <c:v>66254</c:v>
                </c:pt>
                <c:pt idx="22">
                  <c:v>75935</c:v>
                </c:pt>
                <c:pt idx="23">
                  <c:v>6832</c:v>
                </c:pt>
                <c:pt idx="24">
                  <c:v>14026</c:v>
                </c:pt>
                <c:pt idx="25">
                  <c:v>33961</c:v>
                </c:pt>
                <c:pt idx="26">
                  <c:v>92092</c:v>
                </c:pt>
                <c:pt idx="27">
                  <c:v>708045</c:v>
                </c:pt>
                <c:pt idx="28">
                  <c:v>4270</c:v>
                </c:pt>
                <c:pt idx="29">
                  <c:v>175</c:v>
                </c:pt>
                <c:pt idx="30">
                  <c:v>36924</c:v>
                </c:pt>
                <c:pt idx="31">
                  <c:v>50458</c:v>
                </c:pt>
                <c:pt idx="32">
                  <c:v>7680</c:v>
                </c:pt>
                <c:pt idx="33" formatCode="General">
                  <c:v>0</c:v>
                </c:pt>
                <c:pt idx="34">
                  <c:v>65226</c:v>
                </c:pt>
                <c:pt idx="35">
                  <c:v>711923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B-4DA2-A91C-AE4A4C26408B}"/>
            </c:ext>
          </c:extLst>
        </c:ser>
        <c:ser>
          <c:idx val="1"/>
          <c:order val="1"/>
          <c:spPr>
            <a:solidFill>
              <a:srgbClr val="ED7D31"/>
            </a:solidFill>
            <a:ln w="25400">
              <a:noFill/>
            </a:ln>
          </c:spPr>
          <c:invertIfNegative val="0"/>
          <c:val>
            <c:numRef>
              <c:f>'General and Vocational'!$P$15:$P$50</c:f>
              <c:numCache>
                <c:formatCode>#,##0</c:formatCode>
                <c:ptCount val="36"/>
                <c:pt idx="0">
                  <c:v>35811</c:v>
                </c:pt>
                <c:pt idx="1">
                  <c:v>43444</c:v>
                </c:pt>
                <c:pt idx="2">
                  <c:v>63883</c:v>
                </c:pt>
                <c:pt idx="3">
                  <c:v>28869</c:v>
                </c:pt>
                <c:pt idx="4">
                  <c:v>448728</c:v>
                </c:pt>
                <c:pt idx="5">
                  <c:v>7153</c:v>
                </c:pt>
                <c:pt idx="6">
                  <c:v>77191</c:v>
                </c:pt>
                <c:pt idx="7">
                  <c:v>42353</c:v>
                </c:pt>
                <c:pt idx="8">
                  <c:v>222025</c:v>
                </c:pt>
                <c:pt idx="9">
                  <c:v>307849</c:v>
                </c:pt>
                <c:pt idx="10">
                  <c:v>28589</c:v>
                </c:pt>
                <c:pt idx="11">
                  <c:v>334383</c:v>
                </c:pt>
                <c:pt idx="12">
                  <c:v>1572</c:v>
                </c:pt>
                <c:pt idx="13">
                  <c:v>8605</c:v>
                </c:pt>
                <c:pt idx="14">
                  <c:v>6175</c:v>
                </c:pt>
                <c:pt idx="15">
                  <c:v>3992</c:v>
                </c:pt>
                <c:pt idx="16">
                  <c:v>61442</c:v>
                </c:pt>
                <c:pt idx="17">
                  <c:v>3414</c:v>
                </c:pt>
                <c:pt idx="18">
                  <c:v>117892</c:v>
                </c:pt>
                <c:pt idx="19">
                  <c:v>67177</c:v>
                </c:pt>
                <c:pt idx="20">
                  <c:v>167761</c:v>
                </c:pt>
                <c:pt idx="21">
                  <c:v>38616</c:v>
                </c:pt>
                <c:pt idx="22">
                  <c:v>101431</c:v>
                </c:pt>
                <c:pt idx="23">
                  <c:v>20961</c:v>
                </c:pt>
                <c:pt idx="24">
                  <c:v>33442</c:v>
                </c:pt>
                <c:pt idx="25">
                  <c:v>54417</c:v>
                </c:pt>
                <c:pt idx="26">
                  <c:v>39824</c:v>
                </c:pt>
                <c:pt idx="27">
                  <c:v>1082428</c:v>
                </c:pt>
                <c:pt idx="28">
                  <c:v>1833</c:v>
                </c:pt>
                <c:pt idx="29">
                  <c:v>256</c:v>
                </c:pt>
                <c:pt idx="30">
                  <c:v>29499</c:v>
                </c:pt>
                <c:pt idx="31">
                  <c:v>61944</c:v>
                </c:pt>
                <c:pt idx="32" formatCode="General">
                  <c:v>0</c:v>
                </c:pt>
                <c:pt idx="33" formatCode="General">
                  <c:v>0</c:v>
                </c:pt>
                <c:pt idx="34">
                  <c:v>183678</c:v>
                </c:pt>
                <c:pt idx="35">
                  <c:v>641367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7B-4DA2-A91C-AE4A4C264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693343"/>
        <c:axId val="1"/>
      </c:barChart>
      <c:catAx>
        <c:axId val="81869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86933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1006592925884265"/>
          <c:y val="0.66331361429562241"/>
          <c:w val="0.5177684039495063"/>
          <c:h val="0.72407517713135605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142875</xdr:rowOff>
    </xdr:from>
    <xdr:to>
      <xdr:col>11</xdr:col>
      <xdr:colOff>0</xdr:colOff>
      <xdr:row>36</xdr:row>
      <xdr:rowOff>104775</xdr:rowOff>
    </xdr:to>
    <xdr:graphicFrame macro="">
      <xdr:nvGraphicFramePr>
        <xdr:cNvPr id="12298" name="Graf 2">
          <a:extLst>
            <a:ext uri="{FF2B5EF4-FFF2-40B4-BE49-F238E27FC236}">
              <a16:creationId xmlns:a16="http://schemas.microsoft.com/office/drawing/2014/main" id="{2F4CF77A-4FF3-4C0F-A564-4B4656308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105</xdr:row>
      <xdr:rowOff>57150</xdr:rowOff>
    </xdr:from>
    <xdr:to>
      <xdr:col>23</xdr:col>
      <xdr:colOff>466725</xdr:colOff>
      <xdr:row>143</xdr:row>
      <xdr:rowOff>171450</xdr:rowOff>
    </xdr:to>
    <xdr:graphicFrame macro="">
      <xdr:nvGraphicFramePr>
        <xdr:cNvPr id="46086" name="Graf 1">
          <a:extLst>
            <a:ext uri="{FF2B5EF4-FFF2-40B4-BE49-F238E27FC236}">
              <a16:creationId xmlns:a16="http://schemas.microsoft.com/office/drawing/2014/main" id="{5659EB8E-599D-4134-860D-083A9DD20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105</xdr:row>
      <xdr:rowOff>57150</xdr:rowOff>
    </xdr:from>
    <xdr:to>
      <xdr:col>23</xdr:col>
      <xdr:colOff>466725</xdr:colOff>
      <xdr:row>143</xdr:row>
      <xdr:rowOff>171450</xdr:rowOff>
    </xdr:to>
    <xdr:graphicFrame macro="">
      <xdr:nvGraphicFramePr>
        <xdr:cNvPr id="36883" name="Graf 4">
          <a:extLst>
            <a:ext uri="{FF2B5EF4-FFF2-40B4-BE49-F238E27FC236}">
              <a16:creationId xmlns:a16="http://schemas.microsoft.com/office/drawing/2014/main" id="{E403A4EA-0555-432E-AD6A-B60060DC6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428625</xdr:colOff>
      <xdr:row>51</xdr:row>
      <xdr:rowOff>323850</xdr:rowOff>
    </xdr:from>
    <xdr:to>
      <xdr:col>17</xdr:col>
      <xdr:colOff>952500</xdr:colOff>
      <xdr:row>87</xdr:row>
      <xdr:rowOff>276225</xdr:rowOff>
    </xdr:to>
    <xdr:graphicFrame macro="">
      <xdr:nvGraphicFramePr>
        <xdr:cNvPr id="36884" name="Graf 5">
          <a:extLst>
            <a:ext uri="{FF2B5EF4-FFF2-40B4-BE49-F238E27FC236}">
              <a16:creationId xmlns:a16="http://schemas.microsoft.com/office/drawing/2014/main" id="{3CDC58BF-1542-4A79-A9C7-79FB39A4D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514350</xdr:colOff>
      <xdr:row>11</xdr:row>
      <xdr:rowOff>333375</xdr:rowOff>
    </xdr:from>
    <xdr:to>
      <xdr:col>19</xdr:col>
      <xdr:colOff>57150</xdr:colOff>
      <xdr:row>41</xdr:row>
      <xdr:rowOff>200025</xdr:rowOff>
    </xdr:to>
    <xdr:graphicFrame macro="">
      <xdr:nvGraphicFramePr>
        <xdr:cNvPr id="36885" name="Graf 6">
          <a:extLst>
            <a:ext uri="{FF2B5EF4-FFF2-40B4-BE49-F238E27FC236}">
              <a16:creationId xmlns:a16="http://schemas.microsoft.com/office/drawing/2014/main" id="{5F2E51D5-CF5B-493E-9110-1170CFDE7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6</xdr:row>
      <xdr:rowOff>95250</xdr:rowOff>
    </xdr:from>
    <xdr:to>
      <xdr:col>21</xdr:col>
      <xdr:colOff>466725</xdr:colOff>
      <xdr:row>35</xdr:row>
      <xdr:rowOff>47625</xdr:rowOff>
    </xdr:to>
    <xdr:graphicFrame macro="">
      <xdr:nvGraphicFramePr>
        <xdr:cNvPr id="2076" name="Graf 3">
          <a:extLst>
            <a:ext uri="{FF2B5EF4-FFF2-40B4-BE49-F238E27FC236}">
              <a16:creationId xmlns:a16="http://schemas.microsoft.com/office/drawing/2014/main" id="{1033F5FE-7E2B-43D7-A045-79AEA7E47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219075</xdr:colOff>
      <xdr:row>9</xdr:row>
      <xdr:rowOff>38100</xdr:rowOff>
    </xdr:from>
    <xdr:to>
      <xdr:col>22</xdr:col>
      <xdr:colOff>66675</xdr:colOff>
      <xdr:row>35</xdr:row>
      <xdr:rowOff>142875</xdr:rowOff>
    </xdr:to>
    <xdr:graphicFrame macro="">
      <xdr:nvGraphicFramePr>
        <xdr:cNvPr id="2077" name="Graf 4">
          <a:extLst>
            <a:ext uri="{FF2B5EF4-FFF2-40B4-BE49-F238E27FC236}">
              <a16:creationId xmlns:a16="http://schemas.microsoft.com/office/drawing/2014/main" id="{11F7E468-888E-4D23-BAA6-593998A08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504825</xdr:colOff>
      <xdr:row>10</xdr:row>
      <xdr:rowOff>209550</xdr:rowOff>
    </xdr:from>
    <xdr:to>
      <xdr:col>23</xdr:col>
      <xdr:colOff>447675</xdr:colOff>
      <xdr:row>41</xdr:row>
      <xdr:rowOff>333375</xdr:rowOff>
    </xdr:to>
    <xdr:graphicFrame macro="">
      <xdr:nvGraphicFramePr>
        <xdr:cNvPr id="2078" name="Graf 5">
          <a:extLst>
            <a:ext uri="{FF2B5EF4-FFF2-40B4-BE49-F238E27FC236}">
              <a16:creationId xmlns:a16="http://schemas.microsoft.com/office/drawing/2014/main" id="{643EB33D-082C-40AE-A2A2-A9896B687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514350</xdr:colOff>
      <xdr:row>11</xdr:row>
      <xdr:rowOff>38100</xdr:rowOff>
    </xdr:from>
    <xdr:to>
      <xdr:col>21</xdr:col>
      <xdr:colOff>304800</xdr:colOff>
      <xdr:row>31</xdr:row>
      <xdr:rowOff>200025</xdr:rowOff>
    </xdr:to>
    <xdr:graphicFrame macro="">
      <xdr:nvGraphicFramePr>
        <xdr:cNvPr id="1035" name="Graf 2">
          <a:extLst>
            <a:ext uri="{FF2B5EF4-FFF2-40B4-BE49-F238E27FC236}">
              <a16:creationId xmlns:a16="http://schemas.microsoft.com/office/drawing/2014/main" id="{8DFED873-4DCC-45AA-8A07-5DDCE749D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="70" zoomScaleNormal="100" workbookViewId="0">
      <selection activeCell="U22" sqref="U22"/>
    </sheetView>
  </sheetViews>
  <sheetFormatPr defaultRowHeight="14.25" x14ac:dyDescent="0.2"/>
  <sheetData>
    <row r="1" spans="1:5" x14ac:dyDescent="0.2">
      <c r="A1" s="1"/>
    </row>
    <row r="2" spans="1:5" x14ac:dyDescent="0.2">
      <c r="A2" s="3" t="s">
        <v>12</v>
      </c>
      <c r="B2" s="3" t="s">
        <v>16</v>
      </c>
      <c r="C2" s="3" t="s">
        <v>17</v>
      </c>
      <c r="D2" s="3" t="s">
        <v>18</v>
      </c>
      <c r="E2" s="3" t="s">
        <v>19</v>
      </c>
    </row>
    <row r="3" spans="1:5" x14ac:dyDescent="0.2">
      <c r="A3" s="3" t="s">
        <v>77</v>
      </c>
      <c r="B3" s="5">
        <v>25256</v>
      </c>
      <c r="C3" s="5">
        <v>25981</v>
      </c>
      <c r="D3" s="5">
        <v>25955</v>
      </c>
      <c r="E3" s="5">
        <v>25833</v>
      </c>
    </row>
    <row r="4" spans="1:5" x14ac:dyDescent="0.2">
      <c r="A4" s="3" t="s">
        <v>76</v>
      </c>
      <c r="B4" s="5">
        <v>63132</v>
      </c>
      <c r="C4" s="5">
        <v>62722</v>
      </c>
      <c r="D4" s="5">
        <v>62839</v>
      </c>
      <c r="E4" s="5">
        <v>63883</v>
      </c>
    </row>
    <row r="5" spans="1:5" x14ac:dyDescent="0.2">
      <c r="A5" s="1"/>
      <c r="B5" s="1"/>
    </row>
    <row r="7" spans="1:5" x14ac:dyDescent="0.2">
      <c r="A7" s="1"/>
      <c r="B7" s="1"/>
    </row>
    <row r="8" spans="1:5" x14ac:dyDescent="0.2">
      <c r="A8" s="1"/>
      <c r="B8" s="1"/>
    </row>
    <row r="15" spans="1:5" x14ac:dyDescent="0.2">
      <c r="A15" s="1"/>
      <c r="B15" s="1"/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2"/>
  <sheetViews>
    <sheetView topLeftCell="A10" zoomScale="85" zoomScaleNormal="85" workbookViewId="0">
      <selection activeCell="D12" sqref="D12:L47"/>
    </sheetView>
  </sheetViews>
  <sheetFormatPr defaultRowHeight="14.25" x14ac:dyDescent="0.2"/>
  <cols>
    <col min="4" max="4" width="15.5" customWidth="1"/>
    <col min="11" max="11" width="11.875" bestFit="1" customWidth="1"/>
  </cols>
  <sheetData>
    <row r="1" spans="1:12" x14ac:dyDescent="0.2">
      <c r="A1" s="1" t="s">
        <v>0</v>
      </c>
    </row>
    <row r="3" spans="1:12" x14ac:dyDescent="0.2">
      <c r="A3" s="1" t="s">
        <v>1</v>
      </c>
      <c r="B3" s="2">
        <v>43990.837187500001</v>
      </c>
    </row>
    <row r="4" spans="1:12" x14ac:dyDescent="0.2">
      <c r="A4" s="1" t="s">
        <v>2</v>
      </c>
      <c r="B4" s="2">
        <v>44002.107865983795</v>
      </c>
    </row>
    <row r="5" spans="1:12" x14ac:dyDescent="0.2">
      <c r="A5" s="1" t="s">
        <v>3</v>
      </c>
      <c r="B5" s="1" t="s">
        <v>4</v>
      </c>
    </row>
    <row r="7" spans="1:12" x14ac:dyDescent="0.2">
      <c r="A7" s="1" t="s">
        <v>5</v>
      </c>
      <c r="B7" s="1" t="s">
        <v>6</v>
      </c>
    </row>
    <row r="8" spans="1:12" x14ac:dyDescent="0.2">
      <c r="A8" s="1" t="s">
        <v>7</v>
      </c>
      <c r="B8" s="1" t="s">
        <v>8</v>
      </c>
    </row>
    <row r="9" spans="1:12" x14ac:dyDescent="0.2">
      <c r="A9" s="1" t="s">
        <v>9</v>
      </c>
      <c r="B9" s="1" t="s">
        <v>8</v>
      </c>
    </row>
    <row r="10" spans="1:12" x14ac:dyDescent="0.2">
      <c r="A10" s="1" t="s">
        <v>10</v>
      </c>
      <c r="B10" s="1" t="s">
        <v>61</v>
      </c>
    </row>
    <row r="11" spans="1:12" x14ac:dyDescent="0.2">
      <c r="A11" s="1"/>
      <c r="B11" s="1"/>
    </row>
    <row r="12" spans="1:12" x14ac:dyDescent="0.2">
      <c r="A12" s="10" t="s">
        <v>78</v>
      </c>
      <c r="B12" s="10"/>
      <c r="C12" s="10"/>
      <c r="D12" s="10">
        <v>2018</v>
      </c>
      <c r="E12" s="10"/>
      <c r="F12" s="10"/>
      <c r="G12" s="10">
        <v>2017</v>
      </c>
      <c r="H12" s="10"/>
      <c r="I12" s="10"/>
      <c r="J12" s="10">
        <v>2016</v>
      </c>
      <c r="K12" s="10"/>
      <c r="L12" s="10"/>
    </row>
    <row r="13" spans="1:12" x14ac:dyDescent="0.2">
      <c r="A13" s="3" t="s">
        <v>12</v>
      </c>
      <c r="B13" s="6" t="s">
        <v>77</v>
      </c>
      <c r="C13" s="6" t="s">
        <v>76</v>
      </c>
      <c r="D13" s="3" t="s">
        <v>12</v>
      </c>
      <c r="E13" s="6" t="s">
        <v>77</v>
      </c>
      <c r="F13" s="6" t="s">
        <v>76</v>
      </c>
      <c r="G13" s="3" t="s">
        <v>12</v>
      </c>
      <c r="H13" s="6" t="s">
        <v>77</v>
      </c>
      <c r="I13" s="6" t="s">
        <v>76</v>
      </c>
      <c r="J13" s="3" t="s">
        <v>12</v>
      </c>
      <c r="K13" s="6" t="s">
        <v>77</v>
      </c>
      <c r="L13" s="6" t="s">
        <v>76</v>
      </c>
    </row>
    <row r="14" spans="1:12" x14ac:dyDescent="0.2">
      <c r="A14" s="3" t="s">
        <v>45</v>
      </c>
      <c r="B14" s="5">
        <v>6832</v>
      </c>
      <c r="C14" s="5">
        <v>20961</v>
      </c>
      <c r="D14" s="3" t="s">
        <v>45</v>
      </c>
      <c r="E14">
        <f t="shared" ref="E14:E47" si="0">B14/((B14+C14)/100)</f>
        <v>24.581729212391608</v>
      </c>
      <c r="F14">
        <f t="shared" ref="F14:F47" si="1">C14/((B14+C14)/100)</f>
        <v>75.418270787608392</v>
      </c>
      <c r="G14" s="3" t="s">
        <v>45</v>
      </c>
      <c r="H14">
        <v>24.11614368876899</v>
      </c>
      <c r="I14">
        <v>75.883856311231</v>
      </c>
      <c r="J14" s="3" t="s">
        <v>45</v>
      </c>
      <c r="K14">
        <v>22.313233987960128</v>
      </c>
      <c r="L14">
        <v>77.686766012039868</v>
      </c>
    </row>
    <row r="15" spans="1:12" x14ac:dyDescent="0.2">
      <c r="A15" s="3" t="s">
        <v>56</v>
      </c>
      <c r="B15" s="5">
        <v>65226</v>
      </c>
      <c r="C15" s="5">
        <v>183678</v>
      </c>
      <c r="D15" s="3" t="s">
        <v>56</v>
      </c>
      <c r="E15">
        <f t="shared" si="0"/>
        <v>26.205283964902133</v>
      </c>
      <c r="F15">
        <f t="shared" si="1"/>
        <v>73.794716035097863</v>
      </c>
      <c r="G15" s="3" t="s">
        <v>56</v>
      </c>
      <c r="H15">
        <v>25.7807902185532</v>
      </c>
      <c r="I15">
        <v>74.219209781446807</v>
      </c>
      <c r="J15" s="3" t="s">
        <v>56</v>
      </c>
      <c r="K15">
        <v>25.581413720099849</v>
      </c>
      <c r="L15">
        <v>74.41858627990014</v>
      </c>
    </row>
    <row r="16" spans="1:12" x14ac:dyDescent="0.2">
      <c r="A16" s="3" t="s">
        <v>24</v>
      </c>
      <c r="B16" s="5">
        <v>25833</v>
      </c>
      <c r="C16" s="5">
        <v>63883</v>
      </c>
      <c r="D16" s="3" t="s">
        <v>24</v>
      </c>
      <c r="E16">
        <f t="shared" si="0"/>
        <v>28.794195015381874</v>
      </c>
      <c r="F16">
        <f t="shared" si="1"/>
        <v>71.205804984618126</v>
      </c>
      <c r="G16" s="3" t="s">
        <v>24</v>
      </c>
      <c r="H16">
        <v>29.230578642701083</v>
      </c>
      <c r="I16">
        <v>70.76942135729891</v>
      </c>
      <c r="J16" s="3" t="s">
        <v>24</v>
      </c>
      <c r="K16">
        <v>29.289877456230343</v>
      </c>
      <c r="L16">
        <v>70.710122543769657</v>
      </c>
    </row>
    <row r="17" spans="1:12" x14ac:dyDescent="0.2">
      <c r="A17" s="3" t="s">
        <v>32</v>
      </c>
      <c r="B17" s="5">
        <v>11853</v>
      </c>
      <c r="C17" s="5">
        <v>28589</v>
      </c>
      <c r="D17" s="3" t="s">
        <v>32</v>
      </c>
      <c r="E17">
        <f t="shared" si="0"/>
        <v>29.308639533158598</v>
      </c>
      <c r="F17">
        <f t="shared" si="1"/>
        <v>70.691360466841402</v>
      </c>
      <c r="G17" s="3" t="s">
        <v>32</v>
      </c>
      <c r="H17">
        <v>29.127507197411308</v>
      </c>
      <c r="I17">
        <v>70.872492802588681</v>
      </c>
      <c r="J17" s="3" t="s">
        <v>32</v>
      </c>
      <c r="K17">
        <v>28.269192020955067</v>
      </c>
      <c r="L17">
        <v>71.730807979044926</v>
      </c>
    </row>
    <row r="18" spans="1:12" x14ac:dyDescent="0.2">
      <c r="A18" s="3" t="s">
        <v>46</v>
      </c>
      <c r="B18" s="5">
        <v>14026</v>
      </c>
      <c r="C18" s="5">
        <v>33442</v>
      </c>
      <c r="D18" s="3" t="s">
        <v>46</v>
      </c>
      <c r="E18">
        <f t="shared" si="0"/>
        <v>29.548327294177131</v>
      </c>
      <c r="F18">
        <f t="shared" si="1"/>
        <v>70.451672705822872</v>
      </c>
      <c r="G18" s="3" t="s">
        <v>46</v>
      </c>
      <c r="H18">
        <v>29.641740119419961</v>
      </c>
      <c r="I18">
        <v>70.358259880580036</v>
      </c>
      <c r="J18" s="3" t="s">
        <v>46</v>
      </c>
      <c r="K18">
        <v>29.390451832907075</v>
      </c>
      <c r="L18">
        <v>70.609548167092925</v>
      </c>
    </row>
    <row r="19" spans="1:12" x14ac:dyDescent="0.2">
      <c r="A19" s="3" t="s">
        <v>41</v>
      </c>
      <c r="B19" s="5">
        <v>40386</v>
      </c>
      <c r="C19" s="5">
        <v>67177</v>
      </c>
      <c r="D19" s="3" t="s">
        <v>41</v>
      </c>
      <c r="E19">
        <f t="shared" si="0"/>
        <v>37.546368174930038</v>
      </c>
      <c r="F19">
        <f t="shared" si="1"/>
        <v>62.453631825069955</v>
      </c>
      <c r="G19" s="3" t="s">
        <v>41</v>
      </c>
      <c r="H19">
        <v>37.753577165913249</v>
      </c>
      <c r="I19">
        <v>62.246422834086744</v>
      </c>
      <c r="J19" s="3" t="s">
        <v>41</v>
      </c>
      <c r="K19">
        <v>38.044219434506857</v>
      </c>
      <c r="L19">
        <v>61.95578056549315</v>
      </c>
    </row>
    <row r="20" spans="1:12" x14ac:dyDescent="0.2">
      <c r="A20" s="3" t="s">
        <v>37</v>
      </c>
      <c r="B20" s="5">
        <v>2483</v>
      </c>
      <c r="C20" s="5">
        <v>3992</v>
      </c>
      <c r="D20" s="3" t="s">
        <v>37</v>
      </c>
      <c r="E20">
        <f t="shared" si="0"/>
        <v>38.34749034749035</v>
      </c>
      <c r="F20">
        <f t="shared" si="1"/>
        <v>61.65250965250965</v>
      </c>
      <c r="G20" s="3" t="s">
        <v>37</v>
      </c>
      <c r="H20">
        <v>39.764670387690444</v>
      </c>
      <c r="I20">
        <v>60.235329612309542</v>
      </c>
      <c r="J20" s="3" t="s">
        <v>37</v>
      </c>
      <c r="K20">
        <v>38.388845855925638</v>
      </c>
      <c r="L20">
        <v>61.611154144074362</v>
      </c>
    </row>
    <row r="21" spans="1:12" x14ac:dyDescent="0.2">
      <c r="A21" s="3" t="s">
        <v>47</v>
      </c>
      <c r="B21" s="5">
        <v>33961</v>
      </c>
      <c r="C21" s="5">
        <v>54417</v>
      </c>
      <c r="D21" s="3" t="s">
        <v>47</v>
      </c>
      <c r="E21">
        <f t="shared" si="0"/>
        <v>38.426984091063389</v>
      </c>
      <c r="F21">
        <f t="shared" si="1"/>
        <v>61.573015908936618</v>
      </c>
      <c r="G21" s="3" t="s">
        <v>47</v>
      </c>
      <c r="H21">
        <v>38.869171602452958</v>
      </c>
      <c r="I21">
        <v>61.130828397547042</v>
      </c>
      <c r="J21" s="3" t="s">
        <v>47</v>
      </c>
      <c r="K21">
        <v>40.151349512912084</v>
      </c>
      <c r="L21">
        <v>59.848650487087916</v>
      </c>
    </row>
    <row r="22" spans="1:12" x14ac:dyDescent="0.2">
      <c r="A22" s="3" t="s">
        <v>49</v>
      </c>
      <c r="B22" s="5">
        <v>708045</v>
      </c>
      <c r="C22" s="5">
        <v>1082428</v>
      </c>
      <c r="D22" s="3" t="s">
        <v>49</v>
      </c>
      <c r="E22">
        <f t="shared" si="0"/>
        <v>39.545136955430216</v>
      </c>
      <c r="F22">
        <f t="shared" si="1"/>
        <v>60.454863044569791</v>
      </c>
      <c r="G22" s="3" t="s">
        <v>49</v>
      </c>
      <c r="H22">
        <v>34.79658982113277</v>
      </c>
      <c r="I22">
        <v>65.203410178867216</v>
      </c>
      <c r="J22" s="3" t="s">
        <v>49</v>
      </c>
      <c r="K22">
        <v>36.758079706749804</v>
      </c>
      <c r="L22">
        <v>63.241920293250189</v>
      </c>
    </row>
    <row r="23" spans="1:12" x14ac:dyDescent="0.2">
      <c r="A23" s="3" t="s">
        <v>51</v>
      </c>
      <c r="B23" s="5">
        <v>175</v>
      </c>
      <c r="C23" s="5">
        <v>256</v>
      </c>
      <c r="D23" s="3" t="s">
        <v>51</v>
      </c>
      <c r="E23">
        <f t="shared" si="0"/>
        <v>40.603248259860791</v>
      </c>
      <c r="F23">
        <f t="shared" si="1"/>
        <v>59.396751740139216</v>
      </c>
      <c r="G23" s="3" t="s">
        <v>51</v>
      </c>
      <c r="H23">
        <v>36.417322834645667</v>
      </c>
      <c r="I23">
        <v>63.582677165354333</v>
      </c>
    </row>
    <row r="24" spans="1:12" x14ac:dyDescent="0.2">
      <c r="A24" s="3" t="s">
        <v>44</v>
      </c>
      <c r="B24" s="5">
        <v>75935</v>
      </c>
      <c r="C24" s="5">
        <v>101431</v>
      </c>
      <c r="D24" s="3" t="s">
        <v>44</v>
      </c>
      <c r="E24">
        <f t="shared" si="0"/>
        <v>42.812602189822172</v>
      </c>
      <c r="F24">
        <f t="shared" si="1"/>
        <v>57.187397810177821</v>
      </c>
      <c r="G24" s="3" t="s">
        <v>44</v>
      </c>
      <c r="H24">
        <v>42.064499885056215</v>
      </c>
      <c r="I24">
        <v>57.935500114943785</v>
      </c>
      <c r="J24" s="3" t="s">
        <v>44</v>
      </c>
      <c r="K24">
        <v>41.346375989750697</v>
      </c>
      <c r="L24">
        <v>58.653624010249303</v>
      </c>
    </row>
    <row r="25" spans="1:12" x14ac:dyDescent="0.2">
      <c r="A25" s="3" t="s">
        <v>53</v>
      </c>
      <c r="B25" s="5">
        <v>50458</v>
      </c>
      <c r="C25" s="5">
        <v>61944</v>
      </c>
      <c r="D25" s="3" t="s">
        <v>53</v>
      </c>
      <c r="E25">
        <f t="shared" si="0"/>
        <v>44.890660308535438</v>
      </c>
      <c r="F25">
        <f t="shared" si="1"/>
        <v>55.109339691464562</v>
      </c>
      <c r="G25" s="3" t="s">
        <v>53</v>
      </c>
      <c r="H25">
        <v>44.442985795678318</v>
      </c>
      <c r="I25">
        <v>55.557014204321689</v>
      </c>
      <c r="J25" s="3" t="s">
        <v>53</v>
      </c>
      <c r="K25">
        <v>43.73640502672761</v>
      </c>
      <c r="L25">
        <v>56.263594973272397</v>
      </c>
    </row>
    <row r="26" spans="1:12" x14ac:dyDescent="0.2">
      <c r="A26" s="3" t="s">
        <v>38</v>
      </c>
      <c r="B26" s="5">
        <v>51249</v>
      </c>
      <c r="C26" s="5">
        <v>61442</v>
      </c>
      <c r="D26" s="3" t="s">
        <v>38</v>
      </c>
      <c r="E26">
        <f t="shared" si="0"/>
        <v>45.477456052391048</v>
      </c>
      <c r="F26">
        <f t="shared" si="1"/>
        <v>54.522543947608945</v>
      </c>
      <c r="G26" s="3" t="s">
        <v>38</v>
      </c>
      <c r="H26">
        <v>75.276908558088707</v>
      </c>
      <c r="I26">
        <v>24.72309144191129</v>
      </c>
      <c r="J26" s="3" t="s">
        <v>38</v>
      </c>
      <c r="K26">
        <v>73.6050897042755</v>
      </c>
      <c r="L26">
        <v>26.394910295724511</v>
      </c>
    </row>
    <row r="27" spans="1:12" x14ac:dyDescent="0.2">
      <c r="A27" s="3" t="s">
        <v>40</v>
      </c>
      <c r="B27" s="5">
        <v>98666</v>
      </c>
      <c r="C27" s="5">
        <v>117892</v>
      </c>
      <c r="D27" s="3" t="s">
        <v>40</v>
      </c>
      <c r="E27">
        <f t="shared" si="0"/>
        <v>45.561004442227947</v>
      </c>
      <c r="F27">
        <f t="shared" si="1"/>
        <v>54.438995557772053</v>
      </c>
      <c r="G27" s="3" t="s">
        <v>40</v>
      </c>
      <c r="H27">
        <v>45.696762006807589</v>
      </c>
      <c r="I27">
        <v>54.303237993192411</v>
      </c>
      <c r="J27" s="3" t="s">
        <v>40</v>
      </c>
      <c r="K27">
        <v>46.023565457502741</v>
      </c>
      <c r="L27">
        <v>53.976434542497259</v>
      </c>
    </row>
    <row r="28" spans="1:12" x14ac:dyDescent="0.2">
      <c r="A28" s="3" t="s">
        <v>28</v>
      </c>
      <c r="B28" s="5">
        <v>64798</v>
      </c>
      <c r="C28" s="5">
        <v>77191</v>
      </c>
      <c r="D28" s="3" t="s">
        <v>28</v>
      </c>
      <c r="E28">
        <f t="shared" si="0"/>
        <v>45.635929543837896</v>
      </c>
      <c r="F28">
        <f t="shared" si="1"/>
        <v>54.364070456162096</v>
      </c>
    </row>
    <row r="29" spans="1:12" x14ac:dyDescent="0.2">
      <c r="A29" s="3" t="s">
        <v>23</v>
      </c>
      <c r="B29" s="5">
        <v>38067</v>
      </c>
      <c r="C29" s="5">
        <v>43444</v>
      </c>
      <c r="D29" s="3" t="s">
        <v>23</v>
      </c>
      <c r="E29">
        <f t="shared" si="0"/>
        <v>46.701672166946793</v>
      </c>
      <c r="F29">
        <f t="shared" si="1"/>
        <v>53.298327833053207</v>
      </c>
      <c r="G29" s="3" t="s">
        <v>23</v>
      </c>
      <c r="H29">
        <v>49.186232877844049</v>
      </c>
      <c r="I29">
        <v>50.813767122155944</v>
      </c>
      <c r="J29" s="3" t="s">
        <v>23</v>
      </c>
      <c r="K29">
        <v>47.911489577232942</v>
      </c>
      <c r="L29">
        <v>52.088510422767065</v>
      </c>
    </row>
    <row r="30" spans="1:12" x14ac:dyDescent="0.2">
      <c r="A30" s="3" t="s">
        <v>33</v>
      </c>
      <c r="B30" s="5">
        <v>300422</v>
      </c>
      <c r="C30" s="5">
        <v>334383</v>
      </c>
      <c r="D30" s="3" t="s">
        <v>33</v>
      </c>
      <c r="E30">
        <f t="shared" si="0"/>
        <v>47.32508408093824</v>
      </c>
      <c r="F30">
        <f t="shared" si="1"/>
        <v>52.67491591906176</v>
      </c>
      <c r="G30" s="3" t="s">
        <v>33</v>
      </c>
      <c r="H30">
        <v>47.156985042270428</v>
      </c>
      <c r="I30">
        <v>52.843014957729579</v>
      </c>
      <c r="J30" s="3" t="s">
        <v>33</v>
      </c>
      <c r="K30">
        <v>46.057782636994098</v>
      </c>
      <c r="L30">
        <v>53.942217363005902</v>
      </c>
    </row>
    <row r="31" spans="1:12" x14ac:dyDescent="0.2">
      <c r="A31" s="3" t="s">
        <v>42</v>
      </c>
      <c r="B31" s="5">
        <v>152217</v>
      </c>
      <c r="C31" s="5">
        <v>167761</v>
      </c>
      <c r="D31" s="3" t="s">
        <v>42</v>
      </c>
      <c r="E31">
        <f t="shared" si="0"/>
        <v>47.571083011957072</v>
      </c>
      <c r="F31">
        <f t="shared" si="1"/>
        <v>52.428916988042921</v>
      </c>
      <c r="G31" s="3" t="s">
        <v>42</v>
      </c>
      <c r="H31">
        <v>46.329233908701774</v>
      </c>
      <c r="I31">
        <v>53.670766091298233</v>
      </c>
      <c r="J31" s="3" t="s">
        <v>42</v>
      </c>
      <c r="K31">
        <v>47.040421065081759</v>
      </c>
      <c r="L31">
        <v>52.959578934918241</v>
      </c>
    </row>
    <row r="32" spans="1:12" x14ac:dyDescent="0.2">
      <c r="A32" s="3" t="s">
        <v>26</v>
      </c>
      <c r="B32" s="5">
        <v>468783</v>
      </c>
      <c r="C32" s="5">
        <v>448728</v>
      </c>
      <c r="D32" s="3" t="s">
        <v>26</v>
      </c>
      <c r="E32">
        <f t="shared" si="0"/>
        <v>51.092902428417752</v>
      </c>
      <c r="F32">
        <f t="shared" si="1"/>
        <v>48.907097571582248</v>
      </c>
      <c r="G32" s="3" t="s">
        <v>26</v>
      </c>
      <c r="H32">
        <v>54.976395673272947</v>
      </c>
      <c r="I32">
        <v>45.023604326727053</v>
      </c>
      <c r="J32" s="3" t="s">
        <v>26</v>
      </c>
      <c r="K32">
        <v>52.884317113679288</v>
      </c>
      <c r="L32">
        <v>47.115682886320712</v>
      </c>
    </row>
    <row r="33" spans="1:12" x14ac:dyDescent="0.2">
      <c r="A33" s="3" t="s">
        <v>57</v>
      </c>
      <c r="B33" s="5">
        <v>711923</v>
      </c>
      <c r="C33" s="5">
        <v>641367</v>
      </c>
      <c r="D33" s="3" t="s">
        <v>57</v>
      </c>
      <c r="E33">
        <f t="shared" si="0"/>
        <v>52.606832238470695</v>
      </c>
      <c r="F33">
        <f t="shared" si="1"/>
        <v>47.393167761529313</v>
      </c>
      <c r="G33" s="3" t="s">
        <v>57</v>
      </c>
      <c r="H33">
        <v>55.241589483806884</v>
      </c>
      <c r="I33">
        <v>44.758410516193116</v>
      </c>
      <c r="J33" s="3" t="s">
        <v>57</v>
      </c>
      <c r="K33">
        <v>54.20867693748712</v>
      </c>
      <c r="L33">
        <v>45.791323062512888</v>
      </c>
    </row>
    <row r="34" spans="1:12" x14ac:dyDescent="0.2">
      <c r="A34" s="3" t="s">
        <v>27</v>
      </c>
      <c r="B34" s="5">
        <v>8821</v>
      </c>
      <c r="C34" s="5">
        <v>7153</v>
      </c>
      <c r="D34" s="3" t="s">
        <v>27</v>
      </c>
      <c r="E34">
        <f t="shared" si="0"/>
        <v>55.220984099161136</v>
      </c>
      <c r="F34">
        <f t="shared" si="1"/>
        <v>44.779015900838857</v>
      </c>
      <c r="G34" s="3" t="s">
        <v>27</v>
      </c>
      <c r="H34">
        <v>55.142384947876941</v>
      </c>
      <c r="I34">
        <v>44.857615052123066</v>
      </c>
      <c r="J34" s="3" t="s">
        <v>27</v>
      </c>
      <c r="K34">
        <v>54.590880699562774</v>
      </c>
      <c r="L34">
        <v>45.409119300437226</v>
      </c>
    </row>
    <row r="35" spans="1:12" x14ac:dyDescent="0.2">
      <c r="A35" s="3" t="s">
        <v>52</v>
      </c>
      <c r="B35" s="5">
        <v>36924</v>
      </c>
      <c r="C35" s="5">
        <v>29499</v>
      </c>
      <c r="D35" s="3" t="s">
        <v>52</v>
      </c>
      <c r="E35">
        <f t="shared" si="0"/>
        <v>55.589178447224604</v>
      </c>
      <c r="F35">
        <f t="shared" si="1"/>
        <v>44.410821552775396</v>
      </c>
      <c r="G35" s="3" t="s">
        <v>52</v>
      </c>
      <c r="H35">
        <v>56.604890757297653</v>
      </c>
      <c r="I35">
        <v>43.395109242702354</v>
      </c>
      <c r="J35" s="3" t="s">
        <v>52</v>
      </c>
      <c r="K35">
        <v>52.827383165063267</v>
      </c>
      <c r="L35">
        <v>47.172616834936733</v>
      </c>
    </row>
    <row r="36" spans="1:12" x14ac:dyDescent="0.2">
      <c r="A36" s="3" t="s">
        <v>35</v>
      </c>
      <c r="B36" s="5">
        <v>12507</v>
      </c>
      <c r="C36" s="5">
        <v>8605</v>
      </c>
      <c r="D36" s="3" t="s">
        <v>35</v>
      </c>
      <c r="E36">
        <f t="shared" si="0"/>
        <v>59.241189844638122</v>
      </c>
      <c r="F36">
        <f t="shared" si="1"/>
        <v>40.758810155361878</v>
      </c>
      <c r="G36" s="3" t="s">
        <v>35</v>
      </c>
      <c r="H36">
        <v>59.644520826737818</v>
      </c>
      <c r="I36">
        <v>40.355479173262175</v>
      </c>
      <c r="J36" s="3" t="s">
        <v>35</v>
      </c>
      <c r="K36">
        <v>62.130832130832133</v>
      </c>
      <c r="L36">
        <v>37.869167869167867</v>
      </c>
    </row>
    <row r="37" spans="1:12" x14ac:dyDescent="0.2">
      <c r="A37" s="3" t="s">
        <v>43</v>
      </c>
      <c r="B37" s="5">
        <v>66254</v>
      </c>
      <c r="C37" s="5">
        <v>38616</v>
      </c>
      <c r="D37" s="3" t="s">
        <v>43</v>
      </c>
      <c r="E37">
        <f t="shared" si="0"/>
        <v>63.177267092590824</v>
      </c>
      <c r="F37">
        <f t="shared" si="1"/>
        <v>36.822732907409168</v>
      </c>
      <c r="G37" s="3" t="s">
        <v>43</v>
      </c>
      <c r="H37">
        <v>62.302278915089452</v>
      </c>
      <c r="I37">
        <v>37.697721084910548</v>
      </c>
      <c r="J37" s="3" t="s">
        <v>43</v>
      </c>
      <c r="K37">
        <v>62.024612072504354</v>
      </c>
      <c r="L37">
        <v>37.975387927495646</v>
      </c>
    </row>
    <row r="38" spans="1:12" x14ac:dyDescent="0.2">
      <c r="A38" s="3" t="s">
        <v>30</v>
      </c>
      <c r="B38" s="5">
        <v>385540</v>
      </c>
      <c r="C38" s="5">
        <v>222025</v>
      </c>
      <c r="D38" s="3" t="s">
        <v>30</v>
      </c>
      <c r="E38">
        <f t="shared" si="0"/>
        <v>63.456584892151461</v>
      </c>
      <c r="F38">
        <f t="shared" si="1"/>
        <v>36.543415107848546</v>
      </c>
      <c r="G38" s="3" t="s">
        <v>30</v>
      </c>
      <c r="H38">
        <v>63.754994054796221</v>
      </c>
      <c r="I38">
        <v>36.245005945203786</v>
      </c>
      <c r="J38" s="3" t="s">
        <v>30</v>
      </c>
      <c r="K38">
        <v>64.823716313214817</v>
      </c>
      <c r="L38">
        <v>35.17628368678519</v>
      </c>
    </row>
    <row r="39" spans="1:12" x14ac:dyDescent="0.2">
      <c r="A39" s="3" t="s">
        <v>31</v>
      </c>
      <c r="B39" s="5">
        <v>545584</v>
      </c>
      <c r="C39" s="5">
        <v>307849</v>
      </c>
      <c r="D39" s="3" t="s">
        <v>31</v>
      </c>
      <c r="E39">
        <f t="shared" si="0"/>
        <v>63.928158390875438</v>
      </c>
      <c r="F39">
        <f t="shared" si="1"/>
        <v>36.071841609124562</v>
      </c>
      <c r="G39" s="3" t="s">
        <v>31</v>
      </c>
      <c r="H39">
        <v>63.449571731862662</v>
      </c>
      <c r="I39">
        <v>36.550428268137338</v>
      </c>
      <c r="J39" s="3" t="s">
        <v>31</v>
      </c>
      <c r="K39">
        <v>63.079574908975282</v>
      </c>
      <c r="L39">
        <v>36.920425091024725</v>
      </c>
    </row>
    <row r="40" spans="1:12" x14ac:dyDescent="0.2">
      <c r="A40" s="3" t="s">
        <v>22</v>
      </c>
      <c r="B40" s="5">
        <v>68708</v>
      </c>
      <c r="C40" s="5">
        <v>35811</v>
      </c>
      <c r="D40" s="3" t="s">
        <v>22</v>
      </c>
      <c r="E40">
        <f t="shared" si="0"/>
        <v>65.737330054822564</v>
      </c>
      <c r="F40">
        <f t="shared" si="1"/>
        <v>34.262669945177429</v>
      </c>
      <c r="J40" s="3" t="s">
        <v>22</v>
      </c>
      <c r="K40">
        <v>62.977932107550146</v>
      </c>
      <c r="L40">
        <v>37.022067892449861</v>
      </c>
    </row>
    <row r="41" spans="1:12" x14ac:dyDescent="0.2">
      <c r="A41" s="3" t="s">
        <v>39</v>
      </c>
      <c r="B41" s="5">
        <v>6784</v>
      </c>
      <c r="C41" s="5">
        <v>3414</v>
      </c>
      <c r="D41" s="3" t="s">
        <v>39</v>
      </c>
      <c r="E41">
        <f t="shared" si="0"/>
        <v>66.522847617179835</v>
      </c>
      <c r="F41">
        <f t="shared" si="1"/>
        <v>33.477152382820158</v>
      </c>
      <c r="G41" s="3" t="s">
        <v>39</v>
      </c>
      <c r="H41">
        <v>66.250507511165253</v>
      </c>
      <c r="I41">
        <v>33.749492488834754</v>
      </c>
      <c r="J41" s="3" t="s">
        <v>39</v>
      </c>
      <c r="K41">
        <v>62.905583162817891</v>
      </c>
      <c r="L41">
        <v>37.094416837182109</v>
      </c>
    </row>
    <row r="42" spans="1:12" x14ac:dyDescent="0.2">
      <c r="A42" s="3" t="s">
        <v>25</v>
      </c>
      <c r="B42" s="5">
        <v>62376</v>
      </c>
      <c r="C42" s="5">
        <v>28869</v>
      </c>
      <c r="D42" s="3" t="s">
        <v>25</v>
      </c>
      <c r="E42">
        <f t="shared" si="0"/>
        <v>68.361006082525066</v>
      </c>
      <c r="F42">
        <f t="shared" si="1"/>
        <v>31.638993917474927</v>
      </c>
      <c r="G42" s="3" t="s">
        <v>25</v>
      </c>
      <c r="H42">
        <v>69.547535944154475</v>
      </c>
      <c r="I42">
        <v>30.452464055845528</v>
      </c>
      <c r="J42" s="3" t="s">
        <v>25</v>
      </c>
      <c r="K42">
        <v>68.22721256604062</v>
      </c>
      <c r="L42">
        <v>31.772787433959373</v>
      </c>
    </row>
    <row r="43" spans="1:12" x14ac:dyDescent="0.2">
      <c r="A43" s="3" t="s">
        <v>48</v>
      </c>
      <c r="B43" s="5">
        <v>92092</v>
      </c>
      <c r="C43" s="5">
        <v>39824</v>
      </c>
      <c r="D43" s="3" t="s">
        <v>48</v>
      </c>
      <c r="E43">
        <f t="shared" si="0"/>
        <v>69.8110919069711</v>
      </c>
      <c r="F43">
        <f t="shared" si="1"/>
        <v>30.188908093028896</v>
      </c>
      <c r="G43" s="3" t="s">
        <v>48</v>
      </c>
      <c r="H43">
        <v>71.590048228737729</v>
      </c>
      <c r="I43">
        <v>28.409951771262271</v>
      </c>
      <c r="J43" s="3" t="s">
        <v>48</v>
      </c>
      <c r="K43">
        <v>67.511720477664753</v>
      </c>
      <c r="L43">
        <v>32.488279522335247</v>
      </c>
    </row>
    <row r="44" spans="1:12" x14ac:dyDescent="0.2">
      <c r="A44" s="3" t="s">
        <v>50</v>
      </c>
      <c r="B44" s="5">
        <v>4270</v>
      </c>
      <c r="C44" s="5">
        <v>1833</v>
      </c>
      <c r="D44" s="3" t="s">
        <v>50</v>
      </c>
      <c r="E44">
        <f t="shared" si="0"/>
        <v>69.965590693101746</v>
      </c>
      <c r="F44">
        <f t="shared" si="1"/>
        <v>30.034409306898247</v>
      </c>
      <c r="G44" s="3" t="s">
        <v>50</v>
      </c>
      <c r="H44">
        <v>70.596658711217188</v>
      </c>
      <c r="I44">
        <v>29.403341288782816</v>
      </c>
      <c r="J44" s="3" t="s">
        <v>50</v>
      </c>
      <c r="K44">
        <v>67.46853592480484</v>
      </c>
      <c r="L44">
        <v>32.531464075195153</v>
      </c>
    </row>
    <row r="45" spans="1:12" x14ac:dyDescent="0.2">
      <c r="A45" s="3" t="s">
        <v>29</v>
      </c>
      <c r="B45" s="5">
        <v>99041</v>
      </c>
      <c r="C45" s="5">
        <v>42353</v>
      </c>
      <c r="D45" s="3" t="s">
        <v>29</v>
      </c>
      <c r="E45">
        <f t="shared" si="0"/>
        <v>70.046112281992166</v>
      </c>
      <c r="F45">
        <f t="shared" si="1"/>
        <v>29.953887718007834</v>
      </c>
      <c r="G45" s="3" t="s">
        <v>29</v>
      </c>
      <c r="H45">
        <v>71.313943894389439</v>
      </c>
      <c r="I45">
        <v>28.686056105610561</v>
      </c>
      <c r="J45" s="3" t="s">
        <v>29</v>
      </c>
      <c r="K45">
        <v>69.892108387366122</v>
      </c>
      <c r="L45">
        <v>30.107891612633885</v>
      </c>
    </row>
    <row r="46" spans="1:12" x14ac:dyDescent="0.2">
      <c r="A46" s="3" t="s">
        <v>36</v>
      </c>
      <c r="B46" s="5">
        <v>23911</v>
      </c>
      <c r="C46" s="5">
        <v>6175</v>
      </c>
      <c r="D46" s="3" t="s">
        <v>36</v>
      </c>
      <c r="E46">
        <f t="shared" si="0"/>
        <v>79.475503556471452</v>
      </c>
      <c r="F46">
        <f t="shared" si="1"/>
        <v>20.524496443528552</v>
      </c>
      <c r="G46" s="3" t="s">
        <v>36</v>
      </c>
      <c r="H46">
        <v>78.011397720455918</v>
      </c>
      <c r="I46">
        <v>21.988602279544093</v>
      </c>
      <c r="J46" s="3" t="s">
        <v>36</v>
      </c>
      <c r="K46">
        <v>78.654244306418221</v>
      </c>
      <c r="L46">
        <v>21.345755693581779</v>
      </c>
    </row>
    <row r="47" spans="1:12" x14ac:dyDescent="0.2">
      <c r="A47" s="3" t="s">
        <v>34</v>
      </c>
      <c r="B47" s="5">
        <v>7355</v>
      </c>
      <c r="C47" s="5">
        <v>1572</v>
      </c>
      <c r="D47" s="3" t="s">
        <v>34</v>
      </c>
      <c r="E47">
        <f t="shared" si="0"/>
        <v>82.39050072812816</v>
      </c>
      <c r="F47">
        <f t="shared" si="1"/>
        <v>17.609499271871851</v>
      </c>
      <c r="G47" s="3" t="s">
        <v>34</v>
      </c>
      <c r="H47">
        <v>82.068444348483212</v>
      </c>
      <c r="I47">
        <v>17.931555651516788</v>
      </c>
      <c r="J47" s="3" t="s">
        <v>34</v>
      </c>
      <c r="K47">
        <v>81.849710982658948</v>
      </c>
      <c r="L47">
        <v>18.150289017341038</v>
      </c>
    </row>
    <row r="49" spans="1:14" x14ac:dyDescent="0.2">
      <c r="A49" s="1"/>
    </row>
    <row r="50" spans="1:14" x14ac:dyDescent="0.2">
      <c r="A50" s="1"/>
      <c r="B50" s="1"/>
    </row>
    <row r="52" spans="1:14" x14ac:dyDescent="0.2">
      <c r="A52" s="10">
        <v>2017</v>
      </c>
      <c r="B52" s="10"/>
      <c r="C52" s="10"/>
    </row>
    <row r="53" spans="1:14" x14ac:dyDescent="0.2">
      <c r="A53" s="3" t="s">
        <v>12</v>
      </c>
      <c r="B53" s="6" t="s">
        <v>77</v>
      </c>
      <c r="C53" s="6" t="s">
        <v>76</v>
      </c>
      <c r="D53" s="3" t="s">
        <v>12</v>
      </c>
      <c r="E53" s="6" t="s">
        <v>77</v>
      </c>
      <c r="F53" s="6" t="s">
        <v>76</v>
      </c>
    </row>
    <row r="54" spans="1:14" x14ac:dyDescent="0.2">
      <c r="A54" s="3" t="s">
        <v>45</v>
      </c>
      <c r="B54" s="5">
        <v>6794</v>
      </c>
      <c r="C54" s="5">
        <v>21378</v>
      </c>
      <c r="D54" s="3" t="s">
        <v>45</v>
      </c>
      <c r="E54">
        <f t="shared" ref="E54:E84" si="2">B54/((B54+C54)/100)</f>
        <v>24.11614368876899</v>
      </c>
      <c r="F54">
        <f t="shared" ref="F54:F84" si="3">C54/((B54+C54)/100)</f>
        <v>75.883856311231</v>
      </c>
    </row>
    <row r="55" spans="1:14" x14ac:dyDescent="0.2">
      <c r="A55" s="3" t="s">
        <v>56</v>
      </c>
      <c r="B55" s="5">
        <v>64395</v>
      </c>
      <c r="C55" s="5">
        <v>185384</v>
      </c>
      <c r="D55" s="3" t="s">
        <v>56</v>
      </c>
      <c r="E55">
        <f t="shared" si="2"/>
        <v>25.7807902185532</v>
      </c>
      <c r="F55">
        <f t="shared" si="3"/>
        <v>74.219209781446807</v>
      </c>
    </row>
    <row r="56" spans="1:14" x14ac:dyDescent="0.2">
      <c r="A56" s="3" t="s">
        <v>32</v>
      </c>
      <c r="B56" s="5">
        <v>12242</v>
      </c>
      <c r="C56" s="5">
        <v>29787</v>
      </c>
      <c r="D56" s="3" t="s">
        <v>32</v>
      </c>
      <c r="E56">
        <f t="shared" si="2"/>
        <v>29.127507197411308</v>
      </c>
      <c r="F56">
        <f t="shared" si="3"/>
        <v>70.872492802588681</v>
      </c>
    </row>
    <row r="57" spans="1:14" x14ac:dyDescent="0.2">
      <c r="A57" s="3" t="s">
        <v>24</v>
      </c>
      <c r="B57" s="5">
        <v>25955</v>
      </c>
      <c r="C57" s="5">
        <v>62839</v>
      </c>
      <c r="D57" s="3" t="s">
        <v>24</v>
      </c>
      <c r="E57">
        <f t="shared" si="2"/>
        <v>29.230578642701083</v>
      </c>
      <c r="F57">
        <f t="shared" si="3"/>
        <v>70.76942135729891</v>
      </c>
    </row>
    <row r="58" spans="1:14" x14ac:dyDescent="0.2">
      <c r="A58" s="3" t="s">
        <v>46</v>
      </c>
      <c r="B58" s="5">
        <v>14595</v>
      </c>
      <c r="C58" s="5">
        <v>34643</v>
      </c>
      <c r="D58" s="3" t="s">
        <v>46</v>
      </c>
      <c r="E58">
        <f t="shared" si="2"/>
        <v>29.641740119419961</v>
      </c>
      <c r="F58">
        <f t="shared" si="3"/>
        <v>70.358259880580036</v>
      </c>
      <c r="H58" s="1"/>
      <c r="K58" s="1"/>
      <c r="N58" s="1"/>
    </row>
    <row r="59" spans="1:14" x14ac:dyDescent="0.2">
      <c r="A59" s="3" t="s">
        <v>49</v>
      </c>
      <c r="B59" s="5">
        <v>686916</v>
      </c>
      <c r="C59" s="5">
        <v>1287174</v>
      </c>
      <c r="D59" s="3" t="s">
        <v>49</v>
      </c>
      <c r="E59">
        <f t="shared" si="2"/>
        <v>34.79658982113277</v>
      </c>
      <c r="F59">
        <f t="shared" si="3"/>
        <v>65.203410178867216</v>
      </c>
    </row>
    <row r="60" spans="1:14" x14ac:dyDescent="0.2">
      <c r="A60" s="3" t="s">
        <v>41</v>
      </c>
      <c r="B60" s="5">
        <v>40422</v>
      </c>
      <c r="C60" s="5">
        <v>66646</v>
      </c>
      <c r="D60" s="3" t="s">
        <v>41</v>
      </c>
      <c r="E60">
        <f t="shared" si="2"/>
        <v>37.753577165913249</v>
      </c>
      <c r="F60">
        <f t="shared" si="3"/>
        <v>62.246422834086744</v>
      </c>
    </row>
    <row r="61" spans="1:14" x14ac:dyDescent="0.2">
      <c r="A61" s="3" t="s">
        <v>47</v>
      </c>
      <c r="B61" s="5">
        <v>33403</v>
      </c>
      <c r="C61" s="5">
        <v>52534</v>
      </c>
      <c r="D61" s="3" t="s">
        <v>47</v>
      </c>
      <c r="E61">
        <f t="shared" si="2"/>
        <v>38.869171602452958</v>
      </c>
      <c r="F61">
        <f t="shared" si="3"/>
        <v>61.130828397547042</v>
      </c>
    </row>
    <row r="62" spans="1:14" x14ac:dyDescent="0.2">
      <c r="A62" s="3" t="s">
        <v>37</v>
      </c>
      <c r="B62" s="5">
        <v>2636</v>
      </c>
      <c r="C62" s="5">
        <v>3993</v>
      </c>
      <c r="D62" s="3" t="s">
        <v>37</v>
      </c>
      <c r="E62">
        <f t="shared" si="2"/>
        <v>39.764670387690444</v>
      </c>
      <c r="F62">
        <f t="shared" si="3"/>
        <v>60.235329612309542</v>
      </c>
    </row>
    <row r="63" spans="1:14" x14ac:dyDescent="0.2">
      <c r="A63" s="3" t="s">
        <v>44</v>
      </c>
      <c r="B63" s="5">
        <v>76851</v>
      </c>
      <c r="C63" s="5">
        <v>105847</v>
      </c>
      <c r="D63" s="3" t="s">
        <v>44</v>
      </c>
      <c r="E63">
        <f t="shared" si="2"/>
        <v>42.064499885056215</v>
      </c>
      <c r="F63">
        <f t="shared" si="3"/>
        <v>57.935500114943785</v>
      </c>
    </row>
    <row r="64" spans="1:14" x14ac:dyDescent="0.2">
      <c r="A64" s="3" t="s">
        <v>53</v>
      </c>
      <c r="B64" s="5">
        <v>50781</v>
      </c>
      <c r="C64" s="5">
        <v>63480</v>
      </c>
      <c r="D64" s="3" t="s">
        <v>53</v>
      </c>
      <c r="E64">
        <f t="shared" si="2"/>
        <v>44.442985795678318</v>
      </c>
      <c r="F64">
        <f t="shared" si="3"/>
        <v>55.557014204321689</v>
      </c>
    </row>
    <row r="65" spans="1:14" x14ac:dyDescent="0.2">
      <c r="A65" s="3" t="s">
        <v>40</v>
      </c>
      <c r="B65" s="5">
        <v>98944</v>
      </c>
      <c r="C65" s="5">
        <v>117579</v>
      </c>
      <c r="D65" s="3" t="s">
        <v>40</v>
      </c>
      <c r="E65">
        <f t="shared" si="2"/>
        <v>45.696762006807589</v>
      </c>
      <c r="F65">
        <f t="shared" si="3"/>
        <v>54.303237993192411</v>
      </c>
    </row>
    <row r="66" spans="1:14" x14ac:dyDescent="0.2">
      <c r="A66" s="3" t="s">
        <v>42</v>
      </c>
      <c r="B66" s="5">
        <v>153473</v>
      </c>
      <c r="C66" s="5">
        <v>177793</v>
      </c>
      <c r="D66" s="3" t="s">
        <v>42</v>
      </c>
      <c r="E66">
        <f t="shared" si="2"/>
        <v>46.329233908701774</v>
      </c>
      <c r="F66">
        <f t="shared" si="3"/>
        <v>53.670766091298233</v>
      </c>
    </row>
    <row r="67" spans="1:14" x14ac:dyDescent="0.2">
      <c r="A67" s="3" t="s">
        <v>33</v>
      </c>
      <c r="B67" s="5">
        <v>288439</v>
      </c>
      <c r="C67" s="5">
        <v>323218</v>
      </c>
      <c r="D67" s="3" t="s">
        <v>33</v>
      </c>
      <c r="E67">
        <f t="shared" si="2"/>
        <v>47.156985042270428</v>
      </c>
      <c r="F67">
        <f t="shared" si="3"/>
        <v>52.843014957729579</v>
      </c>
    </row>
    <row r="68" spans="1:14" x14ac:dyDescent="0.2">
      <c r="A68" s="3" t="s">
        <v>23</v>
      </c>
      <c r="B68" s="5">
        <v>29768</v>
      </c>
      <c r="C68" s="5">
        <v>30753</v>
      </c>
      <c r="D68" s="3" t="s">
        <v>23</v>
      </c>
      <c r="E68">
        <f t="shared" si="2"/>
        <v>49.186232877844049</v>
      </c>
      <c r="F68">
        <f t="shared" si="3"/>
        <v>50.813767122155944</v>
      </c>
    </row>
    <row r="69" spans="1:14" x14ac:dyDescent="0.2">
      <c r="A69" s="3" t="s">
        <v>26</v>
      </c>
      <c r="B69" s="5">
        <v>550129</v>
      </c>
      <c r="C69" s="5">
        <v>450535</v>
      </c>
      <c r="D69" s="3" t="s">
        <v>26</v>
      </c>
      <c r="E69">
        <f t="shared" si="2"/>
        <v>54.976395673272947</v>
      </c>
      <c r="F69">
        <f t="shared" si="3"/>
        <v>45.023604326727053</v>
      </c>
      <c r="H69" s="1"/>
      <c r="K69" s="1"/>
      <c r="N69" s="1"/>
    </row>
    <row r="70" spans="1:14" x14ac:dyDescent="0.2">
      <c r="A70" s="3" t="s">
        <v>27</v>
      </c>
      <c r="B70" s="5">
        <v>8675</v>
      </c>
      <c r="C70" s="5">
        <v>7057</v>
      </c>
      <c r="D70" s="3" t="s">
        <v>27</v>
      </c>
      <c r="E70">
        <f t="shared" si="2"/>
        <v>55.142384947876941</v>
      </c>
      <c r="F70">
        <f t="shared" si="3"/>
        <v>44.857615052123066</v>
      </c>
    </row>
    <row r="71" spans="1:14" x14ac:dyDescent="0.2">
      <c r="A71" s="3" t="s">
        <v>57</v>
      </c>
      <c r="B71" s="5">
        <v>768031</v>
      </c>
      <c r="C71" s="5">
        <v>622282</v>
      </c>
      <c r="D71" s="3" t="s">
        <v>57</v>
      </c>
      <c r="E71">
        <f t="shared" si="2"/>
        <v>55.241589483806884</v>
      </c>
      <c r="F71">
        <f t="shared" si="3"/>
        <v>44.758410516193116</v>
      </c>
    </row>
    <row r="72" spans="1:14" x14ac:dyDescent="0.2">
      <c r="A72" s="3" t="s">
        <v>52</v>
      </c>
      <c r="B72" s="5">
        <v>38240</v>
      </c>
      <c r="C72" s="5">
        <v>29316</v>
      </c>
      <c r="D72" s="3" t="s">
        <v>52</v>
      </c>
      <c r="E72">
        <f t="shared" si="2"/>
        <v>56.604890757297653</v>
      </c>
      <c r="F72">
        <f t="shared" si="3"/>
        <v>43.395109242702354</v>
      </c>
    </row>
    <row r="73" spans="1:14" x14ac:dyDescent="0.2">
      <c r="A73" s="3" t="s">
        <v>35</v>
      </c>
      <c r="B73" s="5">
        <v>13188</v>
      </c>
      <c r="C73" s="5">
        <v>8923</v>
      </c>
      <c r="D73" s="3" t="s">
        <v>35</v>
      </c>
      <c r="E73">
        <f t="shared" si="2"/>
        <v>59.644520826737818</v>
      </c>
      <c r="F73">
        <f t="shared" si="3"/>
        <v>40.355479173262175</v>
      </c>
    </row>
    <row r="74" spans="1:14" x14ac:dyDescent="0.2">
      <c r="A74" s="3" t="s">
        <v>43</v>
      </c>
      <c r="B74" s="5">
        <v>66132</v>
      </c>
      <c r="C74" s="5">
        <v>40015</v>
      </c>
      <c r="D74" s="3" t="s">
        <v>43</v>
      </c>
      <c r="E74">
        <f t="shared" si="2"/>
        <v>62.302278915089452</v>
      </c>
      <c r="F74">
        <f t="shared" si="3"/>
        <v>37.697721084910548</v>
      </c>
    </row>
    <row r="75" spans="1:14" x14ac:dyDescent="0.2">
      <c r="A75" s="3" t="s">
        <v>31</v>
      </c>
      <c r="B75" s="5">
        <v>546021</v>
      </c>
      <c r="C75" s="5">
        <v>314538</v>
      </c>
      <c r="D75" s="3" t="s">
        <v>31</v>
      </c>
      <c r="E75">
        <f t="shared" si="2"/>
        <v>63.449571731862662</v>
      </c>
      <c r="F75">
        <f t="shared" si="3"/>
        <v>36.550428268137338</v>
      </c>
    </row>
    <row r="76" spans="1:14" x14ac:dyDescent="0.2">
      <c r="A76" s="3" t="s">
        <v>30</v>
      </c>
      <c r="B76" s="5">
        <v>381230</v>
      </c>
      <c r="C76" s="5">
        <v>216731</v>
      </c>
      <c r="D76" s="3" t="s">
        <v>30</v>
      </c>
      <c r="E76">
        <f t="shared" si="2"/>
        <v>63.754994054796221</v>
      </c>
      <c r="F76">
        <f t="shared" si="3"/>
        <v>36.245005945203786</v>
      </c>
    </row>
    <row r="77" spans="1:14" x14ac:dyDescent="0.2">
      <c r="A77" s="3" t="s">
        <v>39</v>
      </c>
      <c r="B77" s="5">
        <v>6527</v>
      </c>
      <c r="C77" s="5">
        <v>3325</v>
      </c>
      <c r="D77" s="3" t="s">
        <v>39</v>
      </c>
      <c r="E77">
        <f t="shared" si="2"/>
        <v>66.250507511165253</v>
      </c>
      <c r="F77">
        <f t="shared" si="3"/>
        <v>33.749492488834754</v>
      </c>
    </row>
    <row r="78" spans="1:14" x14ac:dyDescent="0.2">
      <c r="A78" s="3" t="s">
        <v>25</v>
      </c>
      <c r="B78" s="5">
        <v>65157</v>
      </c>
      <c r="C78" s="5">
        <v>28530</v>
      </c>
      <c r="D78" s="3" t="s">
        <v>25</v>
      </c>
      <c r="E78">
        <f t="shared" si="2"/>
        <v>69.547535944154475</v>
      </c>
      <c r="F78">
        <f t="shared" si="3"/>
        <v>30.452464055845528</v>
      </c>
    </row>
    <row r="79" spans="1:14" x14ac:dyDescent="0.2">
      <c r="A79" s="3" t="s">
        <v>50</v>
      </c>
      <c r="B79" s="5">
        <v>4437</v>
      </c>
      <c r="C79" s="5">
        <v>1848</v>
      </c>
      <c r="D79" s="3" t="s">
        <v>50</v>
      </c>
      <c r="E79">
        <f t="shared" si="2"/>
        <v>70.596658711217188</v>
      </c>
      <c r="F79">
        <f t="shared" si="3"/>
        <v>29.403341288782816</v>
      </c>
    </row>
    <row r="80" spans="1:14" x14ac:dyDescent="0.2">
      <c r="A80" s="3" t="s">
        <v>29</v>
      </c>
      <c r="B80" s="5">
        <v>103719</v>
      </c>
      <c r="C80" s="5">
        <v>41721</v>
      </c>
      <c r="D80" s="3" t="s">
        <v>29</v>
      </c>
      <c r="E80">
        <f t="shared" si="2"/>
        <v>71.313943894389439</v>
      </c>
      <c r="F80">
        <f t="shared" si="3"/>
        <v>28.686056105610561</v>
      </c>
      <c r="H80" s="1"/>
      <c r="K80" s="1"/>
      <c r="N80" s="1"/>
    </row>
    <row r="81" spans="1:6" x14ac:dyDescent="0.2">
      <c r="A81" s="3" t="s">
        <v>48</v>
      </c>
      <c r="B81" s="5">
        <v>95446</v>
      </c>
      <c r="C81" s="5">
        <v>37877</v>
      </c>
      <c r="D81" s="3" t="s">
        <v>48</v>
      </c>
      <c r="E81">
        <f t="shared" si="2"/>
        <v>71.590048228737729</v>
      </c>
      <c r="F81">
        <f t="shared" si="3"/>
        <v>28.409951771262271</v>
      </c>
    </row>
    <row r="82" spans="1:6" x14ac:dyDescent="0.2">
      <c r="A82" s="3" t="s">
        <v>38</v>
      </c>
      <c r="B82" s="5">
        <v>90933</v>
      </c>
      <c r="C82" s="5">
        <v>29865</v>
      </c>
      <c r="D82" s="3" t="s">
        <v>38</v>
      </c>
      <c r="E82">
        <f t="shared" si="2"/>
        <v>75.276908558088707</v>
      </c>
      <c r="F82">
        <f t="shared" si="3"/>
        <v>24.72309144191129</v>
      </c>
    </row>
    <row r="83" spans="1:6" x14ac:dyDescent="0.2">
      <c r="A83" s="3" t="s">
        <v>36</v>
      </c>
      <c r="B83" s="5">
        <v>26009</v>
      </c>
      <c r="C83" s="5">
        <v>7331</v>
      </c>
      <c r="D83" s="3" t="s">
        <v>36</v>
      </c>
      <c r="E83">
        <f t="shared" si="2"/>
        <v>78.011397720455918</v>
      </c>
      <c r="F83">
        <f t="shared" si="3"/>
        <v>21.988602279544093</v>
      </c>
    </row>
    <row r="84" spans="1:6" x14ac:dyDescent="0.2">
      <c r="A84" s="3" t="s">
        <v>34</v>
      </c>
      <c r="B84" s="5">
        <v>7602</v>
      </c>
      <c r="C84" s="5">
        <v>1661</v>
      </c>
      <c r="D84" s="3" t="s">
        <v>34</v>
      </c>
      <c r="E84">
        <f t="shared" si="2"/>
        <v>82.068444348483212</v>
      </c>
      <c r="F84">
        <f t="shared" si="3"/>
        <v>17.931555651516788</v>
      </c>
    </row>
    <row r="108" spans="1:6" x14ac:dyDescent="0.2">
      <c r="A108" s="10">
        <v>2016</v>
      </c>
      <c r="B108" s="10"/>
      <c r="C108" s="10"/>
      <c r="D108" s="9"/>
    </row>
    <row r="109" spans="1:6" x14ac:dyDescent="0.2">
      <c r="A109" s="3" t="s">
        <v>12</v>
      </c>
      <c r="B109" s="6" t="s">
        <v>77</v>
      </c>
      <c r="C109" s="6" t="s">
        <v>76</v>
      </c>
      <c r="D109" s="3" t="s">
        <v>12</v>
      </c>
      <c r="E109" s="6" t="s">
        <v>77</v>
      </c>
      <c r="F109" s="6" t="s">
        <v>76</v>
      </c>
    </row>
    <row r="110" spans="1:6" x14ac:dyDescent="0.2">
      <c r="A110" s="3" t="s">
        <v>45</v>
      </c>
      <c r="B110" s="5">
        <v>6783</v>
      </c>
      <c r="C110" s="5">
        <v>23616</v>
      </c>
      <c r="D110" s="3" t="s">
        <v>45</v>
      </c>
      <c r="E110">
        <f t="shared" ref="E110:E142" si="4">B110/((B110+C110)/100)</f>
        <v>22.313233987960128</v>
      </c>
      <c r="F110">
        <f t="shared" ref="F110:F142" si="5">C110/((B110+C110)/100)</f>
        <v>77.686766012039868</v>
      </c>
    </row>
    <row r="111" spans="1:6" x14ac:dyDescent="0.2">
      <c r="A111" s="3" t="s">
        <v>56</v>
      </c>
      <c r="B111" s="5">
        <v>64766</v>
      </c>
      <c r="C111" s="5">
        <v>188410</v>
      </c>
      <c r="D111" s="3" t="s">
        <v>56</v>
      </c>
      <c r="E111">
        <f t="shared" si="4"/>
        <v>25.581413720099849</v>
      </c>
      <c r="F111">
        <f t="shared" si="5"/>
        <v>74.41858627990014</v>
      </c>
    </row>
    <row r="112" spans="1:6" x14ac:dyDescent="0.2">
      <c r="A112" s="3" t="s">
        <v>32</v>
      </c>
      <c r="B112" s="5">
        <v>12627</v>
      </c>
      <c r="C112" s="5">
        <v>32040</v>
      </c>
      <c r="D112" s="3" t="s">
        <v>32</v>
      </c>
      <c r="E112">
        <f t="shared" si="4"/>
        <v>28.269192020955067</v>
      </c>
      <c r="F112">
        <f t="shared" si="5"/>
        <v>71.730807979044926</v>
      </c>
    </row>
    <row r="113" spans="1:6" x14ac:dyDescent="0.2">
      <c r="A113" s="3" t="s">
        <v>24</v>
      </c>
      <c r="B113" s="5">
        <v>25981</v>
      </c>
      <c r="C113" s="5">
        <v>62722</v>
      </c>
      <c r="D113" s="3" t="s">
        <v>24</v>
      </c>
      <c r="E113">
        <f t="shared" si="4"/>
        <v>29.289877456230343</v>
      </c>
      <c r="F113">
        <f t="shared" si="5"/>
        <v>70.710122543769657</v>
      </c>
    </row>
    <row r="114" spans="1:6" x14ac:dyDescent="0.2">
      <c r="A114" s="3" t="s">
        <v>46</v>
      </c>
      <c r="B114" s="5">
        <v>15169</v>
      </c>
      <c r="C114" s="5">
        <v>36443</v>
      </c>
      <c r="D114" s="3" t="s">
        <v>46</v>
      </c>
      <c r="E114">
        <f t="shared" si="4"/>
        <v>29.390451832907075</v>
      </c>
      <c r="F114">
        <f t="shared" si="5"/>
        <v>70.609548167092925</v>
      </c>
    </row>
    <row r="115" spans="1:6" x14ac:dyDescent="0.2">
      <c r="A115" s="3" t="s">
        <v>51</v>
      </c>
      <c r="B115" s="5">
        <v>185</v>
      </c>
      <c r="C115" s="5">
        <v>323</v>
      </c>
      <c r="D115" s="3" t="s">
        <v>51</v>
      </c>
      <c r="E115">
        <f t="shared" si="4"/>
        <v>36.417322834645667</v>
      </c>
      <c r="F115">
        <f t="shared" si="5"/>
        <v>63.582677165354333</v>
      </c>
    </row>
    <row r="116" spans="1:6" x14ac:dyDescent="0.2">
      <c r="A116" s="3" t="s">
        <v>49</v>
      </c>
      <c r="B116" s="5">
        <v>694323</v>
      </c>
      <c r="C116" s="5">
        <v>1194576</v>
      </c>
      <c r="D116" s="3" t="s">
        <v>49</v>
      </c>
      <c r="E116">
        <f t="shared" si="4"/>
        <v>36.758079706749804</v>
      </c>
      <c r="F116">
        <f t="shared" si="5"/>
        <v>63.241920293250189</v>
      </c>
    </row>
    <row r="117" spans="1:6" x14ac:dyDescent="0.2">
      <c r="A117" s="3" t="s">
        <v>41</v>
      </c>
      <c r="B117" s="5">
        <v>40729</v>
      </c>
      <c r="C117" s="5">
        <v>66328</v>
      </c>
      <c r="D117" s="3" t="s">
        <v>41</v>
      </c>
      <c r="E117">
        <f t="shared" si="4"/>
        <v>38.044219434506857</v>
      </c>
      <c r="F117">
        <f t="shared" si="5"/>
        <v>61.95578056549315</v>
      </c>
    </row>
    <row r="118" spans="1:6" x14ac:dyDescent="0.2">
      <c r="A118" s="3" t="s">
        <v>37</v>
      </c>
      <c r="B118" s="5">
        <v>2478</v>
      </c>
      <c r="C118" s="5">
        <v>3977</v>
      </c>
      <c r="D118" s="3" t="s">
        <v>37</v>
      </c>
      <c r="E118">
        <f t="shared" si="4"/>
        <v>38.388845855925638</v>
      </c>
      <c r="F118">
        <f t="shared" si="5"/>
        <v>61.611154144074362</v>
      </c>
    </row>
    <row r="119" spans="1:6" x14ac:dyDescent="0.2">
      <c r="A119" s="3" t="s">
        <v>47</v>
      </c>
      <c r="B119" s="5">
        <v>33055</v>
      </c>
      <c r="C119" s="5">
        <v>49271</v>
      </c>
      <c r="D119" s="3" t="s">
        <v>47</v>
      </c>
      <c r="E119">
        <f t="shared" si="4"/>
        <v>40.151349512912084</v>
      </c>
      <c r="F119">
        <f t="shared" si="5"/>
        <v>59.848650487087916</v>
      </c>
    </row>
    <row r="120" spans="1:6" x14ac:dyDescent="0.2">
      <c r="A120" s="3" t="s">
        <v>44</v>
      </c>
      <c r="B120" s="5">
        <v>78745</v>
      </c>
      <c r="C120" s="5">
        <v>111707</v>
      </c>
      <c r="D120" s="3" t="s">
        <v>44</v>
      </c>
      <c r="E120">
        <f t="shared" si="4"/>
        <v>41.346375989750697</v>
      </c>
      <c r="F120">
        <f t="shared" si="5"/>
        <v>58.653624010249303</v>
      </c>
    </row>
    <row r="121" spans="1:6" x14ac:dyDescent="0.2">
      <c r="A121" s="3" t="s">
        <v>53</v>
      </c>
      <c r="B121" s="5">
        <v>49664</v>
      </c>
      <c r="C121" s="5">
        <v>63889</v>
      </c>
      <c r="D121" s="3" t="s">
        <v>53</v>
      </c>
      <c r="E121">
        <f t="shared" si="4"/>
        <v>43.73640502672761</v>
      </c>
      <c r="F121">
        <f t="shared" si="5"/>
        <v>56.263594973272397</v>
      </c>
    </row>
    <row r="122" spans="1:6" x14ac:dyDescent="0.2">
      <c r="A122" s="3" t="s">
        <v>40</v>
      </c>
      <c r="B122" s="5">
        <v>97338</v>
      </c>
      <c r="C122" s="5">
        <v>114158</v>
      </c>
      <c r="D122" s="3" t="s">
        <v>40</v>
      </c>
      <c r="E122">
        <f t="shared" si="4"/>
        <v>46.023565457502741</v>
      </c>
      <c r="F122">
        <f t="shared" si="5"/>
        <v>53.976434542497259</v>
      </c>
    </row>
    <row r="123" spans="1:6" x14ac:dyDescent="0.2">
      <c r="A123" s="3" t="s">
        <v>33</v>
      </c>
      <c r="B123" s="5">
        <v>287302</v>
      </c>
      <c r="C123" s="5">
        <v>336484</v>
      </c>
      <c r="D123" s="3" t="s">
        <v>33</v>
      </c>
      <c r="E123">
        <f t="shared" si="4"/>
        <v>46.057782636994098</v>
      </c>
      <c r="F123">
        <f t="shared" si="5"/>
        <v>53.942217363005902</v>
      </c>
    </row>
    <row r="124" spans="1:6" x14ac:dyDescent="0.2">
      <c r="A124" s="3" t="s">
        <v>42</v>
      </c>
      <c r="B124" s="5">
        <v>159086</v>
      </c>
      <c r="C124" s="5">
        <v>179104</v>
      </c>
      <c r="D124" s="3" t="s">
        <v>42</v>
      </c>
      <c r="E124">
        <f t="shared" si="4"/>
        <v>47.040421065081759</v>
      </c>
      <c r="F124">
        <f t="shared" si="5"/>
        <v>52.959578934918241</v>
      </c>
    </row>
    <row r="125" spans="1:6" x14ac:dyDescent="0.2">
      <c r="A125" s="3" t="s">
        <v>23</v>
      </c>
      <c r="B125" s="5">
        <v>30270</v>
      </c>
      <c r="C125" s="5">
        <v>32909</v>
      </c>
      <c r="D125" s="3" t="s">
        <v>23</v>
      </c>
      <c r="E125">
        <f t="shared" si="4"/>
        <v>47.911489577232942</v>
      </c>
      <c r="F125">
        <f t="shared" si="5"/>
        <v>52.088510422767065</v>
      </c>
    </row>
    <row r="126" spans="1:6" x14ac:dyDescent="0.2">
      <c r="A126" s="3" t="s">
        <v>52</v>
      </c>
      <c r="B126" s="5">
        <v>35528</v>
      </c>
      <c r="C126" s="5">
        <v>31725</v>
      </c>
      <c r="D126" s="3" t="s">
        <v>52</v>
      </c>
      <c r="E126">
        <f t="shared" si="4"/>
        <v>52.827383165063267</v>
      </c>
      <c r="F126">
        <f t="shared" si="5"/>
        <v>47.172616834936733</v>
      </c>
    </row>
    <row r="127" spans="1:6" x14ac:dyDescent="0.2">
      <c r="A127" s="3" t="s">
        <v>26</v>
      </c>
      <c r="B127" s="5">
        <v>519975</v>
      </c>
      <c r="C127" s="5">
        <v>463256</v>
      </c>
      <c r="D127" s="3" t="s">
        <v>26</v>
      </c>
      <c r="E127">
        <f t="shared" si="4"/>
        <v>52.884317113679288</v>
      </c>
      <c r="F127">
        <f t="shared" si="5"/>
        <v>47.115682886320712</v>
      </c>
    </row>
    <row r="128" spans="1:6" x14ac:dyDescent="0.2">
      <c r="A128" s="3" t="s">
        <v>57</v>
      </c>
      <c r="B128" s="5">
        <v>812555</v>
      </c>
      <c r="C128" s="5">
        <v>686384</v>
      </c>
      <c r="D128" s="3" t="s">
        <v>57</v>
      </c>
      <c r="E128">
        <f t="shared" si="4"/>
        <v>54.20867693748712</v>
      </c>
      <c r="F128">
        <f t="shared" si="5"/>
        <v>45.791323062512888</v>
      </c>
    </row>
    <row r="129" spans="1:6" x14ac:dyDescent="0.2">
      <c r="A129" s="3" t="s">
        <v>27</v>
      </c>
      <c r="B129" s="5">
        <v>8740</v>
      </c>
      <c r="C129" s="5">
        <v>7270</v>
      </c>
      <c r="D129" s="3" t="s">
        <v>27</v>
      </c>
      <c r="E129">
        <f t="shared" si="4"/>
        <v>54.590880699562774</v>
      </c>
      <c r="F129">
        <f t="shared" si="5"/>
        <v>45.409119300437226</v>
      </c>
    </row>
    <row r="130" spans="1:6" x14ac:dyDescent="0.2">
      <c r="A130" s="3" t="s">
        <v>43</v>
      </c>
      <c r="B130" s="5">
        <v>67992</v>
      </c>
      <c r="C130" s="5">
        <v>41629</v>
      </c>
      <c r="D130" s="3" t="s">
        <v>43</v>
      </c>
      <c r="E130">
        <f t="shared" si="4"/>
        <v>62.024612072504354</v>
      </c>
      <c r="F130">
        <f t="shared" si="5"/>
        <v>37.975387927495646</v>
      </c>
    </row>
    <row r="131" spans="1:6" x14ac:dyDescent="0.2">
      <c r="A131" s="3" t="s">
        <v>35</v>
      </c>
      <c r="B131" s="5">
        <v>12917</v>
      </c>
      <c r="C131" s="5">
        <v>7873</v>
      </c>
      <c r="D131" s="3" t="s">
        <v>35</v>
      </c>
      <c r="E131">
        <f t="shared" si="4"/>
        <v>62.130832130832133</v>
      </c>
      <c r="F131">
        <f t="shared" si="5"/>
        <v>37.869167869167867</v>
      </c>
    </row>
    <row r="132" spans="1:6" x14ac:dyDescent="0.2">
      <c r="A132" s="3" t="s">
        <v>39</v>
      </c>
      <c r="B132" s="5">
        <v>6456</v>
      </c>
      <c r="C132" s="5">
        <v>3807</v>
      </c>
      <c r="D132" s="3" t="s">
        <v>39</v>
      </c>
      <c r="E132">
        <f t="shared" si="4"/>
        <v>62.905583162817891</v>
      </c>
      <c r="F132">
        <f t="shared" si="5"/>
        <v>37.094416837182109</v>
      </c>
    </row>
    <row r="133" spans="1:6" x14ac:dyDescent="0.2">
      <c r="A133" s="3" t="s">
        <v>22</v>
      </c>
      <c r="B133" s="5">
        <v>33190</v>
      </c>
      <c r="C133" s="5">
        <v>19511</v>
      </c>
      <c r="D133" s="3" t="s">
        <v>22</v>
      </c>
      <c r="E133">
        <f t="shared" si="4"/>
        <v>62.977932107550146</v>
      </c>
      <c r="F133">
        <f t="shared" si="5"/>
        <v>37.022067892449861</v>
      </c>
    </row>
    <row r="134" spans="1:6" x14ac:dyDescent="0.2">
      <c r="A134" s="3" t="s">
        <v>31</v>
      </c>
      <c r="B134" s="5">
        <v>537590</v>
      </c>
      <c r="C134" s="5">
        <v>314651</v>
      </c>
      <c r="D134" s="3" t="s">
        <v>31</v>
      </c>
      <c r="E134">
        <f t="shared" si="4"/>
        <v>63.079574908975282</v>
      </c>
      <c r="F134">
        <f t="shared" si="5"/>
        <v>36.920425091024725</v>
      </c>
    </row>
    <row r="135" spans="1:6" x14ac:dyDescent="0.2">
      <c r="A135" s="3" t="s">
        <v>30</v>
      </c>
      <c r="B135" s="5">
        <v>381109</v>
      </c>
      <c r="C135" s="5">
        <v>206807</v>
      </c>
      <c r="D135" s="3" t="s">
        <v>30</v>
      </c>
      <c r="E135">
        <f t="shared" si="4"/>
        <v>64.823716313214817</v>
      </c>
      <c r="F135">
        <f t="shared" si="5"/>
        <v>35.17628368678519</v>
      </c>
    </row>
    <row r="136" spans="1:6" x14ac:dyDescent="0.2">
      <c r="A136" s="3" t="s">
        <v>50</v>
      </c>
      <c r="B136" s="5">
        <v>4235</v>
      </c>
      <c r="C136" s="5">
        <v>2042</v>
      </c>
      <c r="D136" s="3" t="s">
        <v>50</v>
      </c>
      <c r="E136">
        <f t="shared" si="4"/>
        <v>67.46853592480484</v>
      </c>
      <c r="F136">
        <f t="shared" si="5"/>
        <v>32.531464075195153</v>
      </c>
    </row>
    <row r="137" spans="1:6" x14ac:dyDescent="0.2">
      <c r="A137" s="3" t="s">
        <v>48</v>
      </c>
      <c r="B137" s="5">
        <v>76322</v>
      </c>
      <c r="C137" s="5">
        <v>36728</v>
      </c>
      <c r="D137" s="3" t="s">
        <v>48</v>
      </c>
      <c r="E137">
        <f t="shared" si="4"/>
        <v>67.511720477664753</v>
      </c>
      <c r="F137">
        <f t="shared" si="5"/>
        <v>32.488279522335247</v>
      </c>
    </row>
    <row r="138" spans="1:6" x14ac:dyDescent="0.2">
      <c r="A138" s="3" t="s">
        <v>25</v>
      </c>
      <c r="B138" s="5">
        <v>62374</v>
      </c>
      <c r="C138" s="5">
        <v>29047</v>
      </c>
      <c r="D138" s="3" t="s">
        <v>25</v>
      </c>
      <c r="E138">
        <f t="shared" si="4"/>
        <v>68.22721256604062</v>
      </c>
      <c r="F138">
        <f t="shared" si="5"/>
        <v>31.772787433959373</v>
      </c>
    </row>
    <row r="139" spans="1:6" x14ac:dyDescent="0.2">
      <c r="A139" s="3" t="s">
        <v>29</v>
      </c>
      <c r="B139" s="5">
        <v>107146</v>
      </c>
      <c r="C139" s="5">
        <v>46156</v>
      </c>
      <c r="D139" s="3" t="s">
        <v>29</v>
      </c>
      <c r="E139">
        <f t="shared" si="4"/>
        <v>69.892108387366122</v>
      </c>
      <c r="F139">
        <f t="shared" si="5"/>
        <v>30.107891612633885</v>
      </c>
    </row>
    <row r="140" spans="1:6" x14ac:dyDescent="0.2">
      <c r="A140" s="3" t="s">
        <v>38</v>
      </c>
      <c r="B140" s="5">
        <v>83530</v>
      </c>
      <c r="C140" s="5">
        <v>29954</v>
      </c>
      <c r="D140" s="3" t="s">
        <v>38</v>
      </c>
      <c r="E140">
        <f t="shared" si="4"/>
        <v>73.6050897042755</v>
      </c>
      <c r="F140">
        <f t="shared" si="5"/>
        <v>26.394910295724511</v>
      </c>
    </row>
    <row r="141" spans="1:6" x14ac:dyDescent="0.2">
      <c r="A141" s="3" t="s">
        <v>36</v>
      </c>
      <c r="B141" s="5">
        <v>26593</v>
      </c>
      <c r="C141" s="5">
        <v>7217</v>
      </c>
      <c r="D141" s="3" t="s">
        <v>36</v>
      </c>
      <c r="E141">
        <f t="shared" si="4"/>
        <v>78.654244306418221</v>
      </c>
      <c r="F141">
        <f t="shared" si="5"/>
        <v>21.345755693581779</v>
      </c>
    </row>
    <row r="142" spans="1:6" x14ac:dyDescent="0.2">
      <c r="A142" s="3" t="s">
        <v>34</v>
      </c>
      <c r="B142" s="5">
        <v>7788</v>
      </c>
      <c r="C142" s="5">
        <v>1727</v>
      </c>
      <c r="D142" s="3" t="s">
        <v>34</v>
      </c>
      <c r="E142">
        <f t="shared" si="4"/>
        <v>81.849710982658948</v>
      </c>
      <c r="F142">
        <f t="shared" si="5"/>
        <v>18.150289017341038</v>
      </c>
    </row>
  </sheetData>
  <mergeCells count="6">
    <mergeCell ref="A12:C12"/>
    <mergeCell ref="A52:C52"/>
    <mergeCell ref="A108:C108"/>
    <mergeCell ref="G12:I12"/>
    <mergeCell ref="J12:L12"/>
    <mergeCell ref="D12:F12"/>
  </mergeCells>
  <pageMargins left="0.78740157499999996" right="0.78740157499999996" top="0.984251969" bottom="0.984251969" header="0.5" footer="0.5"/>
  <pageSetup paperSize="9" scale="10" firstPageNumber="0" fitToWidth="0" fitToHeight="0" pageOrder="overThenDown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9"/>
  <sheetViews>
    <sheetView workbookViewId="0">
      <selection activeCell="B14" sqref="B14"/>
    </sheetView>
  </sheetViews>
  <sheetFormatPr defaultRowHeight="14.25" x14ac:dyDescent="0.2"/>
  <cols>
    <col min="1" max="4" width="13.75" customWidth="1"/>
  </cols>
  <sheetData>
    <row r="1" spans="1:36" x14ac:dyDescent="0.2">
      <c r="B1" t="s">
        <v>12</v>
      </c>
      <c r="C1" t="s">
        <v>45</v>
      </c>
      <c r="D1" t="s">
        <v>56</v>
      </c>
      <c r="E1" t="s">
        <v>24</v>
      </c>
      <c r="F1" t="s">
        <v>32</v>
      </c>
      <c r="G1" t="s">
        <v>46</v>
      </c>
      <c r="H1" t="s">
        <v>41</v>
      </c>
      <c r="I1" t="s">
        <v>37</v>
      </c>
      <c r="J1" t="s">
        <v>47</v>
      </c>
      <c r="K1" t="s">
        <v>49</v>
      </c>
      <c r="L1" t="s">
        <v>51</v>
      </c>
      <c r="M1" t="s">
        <v>44</v>
      </c>
      <c r="N1" t="s">
        <v>53</v>
      </c>
      <c r="O1" t="s">
        <v>38</v>
      </c>
      <c r="P1" t="s">
        <v>40</v>
      </c>
      <c r="Q1" t="s">
        <v>28</v>
      </c>
      <c r="R1" t="s">
        <v>23</v>
      </c>
      <c r="S1" t="s">
        <v>33</v>
      </c>
      <c r="T1" t="s">
        <v>42</v>
      </c>
      <c r="U1" t="s">
        <v>26</v>
      </c>
      <c r="V1" t="s">
        <v>57</v>
      </c>
      <c r="W1" t="s">
        <v>27</v>
      </c>
      <c r="X1" t="s">
        <v>52</v>
      </c>
      <c r="Y1" t="s">
        <v>35</v>
      </c>
      <c r="Z1" t="s">
        <v>43</v>
      </c>
      <c r="AA1" t="s">
        <v>30</v>
      </c>
      <c r="AB1" t="s">
        <v>31</v>
      </c>
      <c r="AC1" t="s">
        <v>22</v>
      </c>
      <c r="AD1" t="s">
        <v>39</v>
      </c>
      <c r="AE1" t="s">
        <v>25</v>
      </c>
      <c r="AF1" t="s">
        <v>48</v>
      </c>
      <c r="AG1" t="s">
        <v>50</v>
      </c>
      <c r="AH1" t="s">
        <v>29</v>
      </c>
      <c r="AI1" t="s">
        <v>36</v>
      </c>
      <c r="AJ1" t="s">
        <v>34</v>
      </c>
    </row>
    <row r="2" spans="1:36" x14ac:dyDescent="0.2">
      <c r="A2" s="11" t="s">
        <v>77</v>
      </c>
      <c r="B2">
        <v>2016</v>
      </c>
      <c r="C2">
        <f>22.3132339879601</f>
        <v>22.3132339879601</v>
      </c>
      <c r="D2">
        <v>25.581413720099849</v>
      </c>
      <c r="E2">
        <v>29.289877456230343</v>
      </c>
      <c r="F2">
        <v>28.269192020955067</v>
      </c>
      <c r="G2">
        <v>29.390451832907075</v>
      </c>
      <c r="H2">
        <v>38.044219434506857</v>
      </c>
      <c r="I2">
        <v>38.388845855925638</v>
      </c>
      <c r="J2">
        <v>40.151349512912084</v>
      </c>
      <c r="K2">
        <v>36.758079706749804</v>
      </c>
      <c r="M2">
        <v>41.346375989750697</v>
      </c>
      <c r="N2">
        <v>43.73640502672761</v>
      </c>
      <c r="O2">
        <v>73.6050897042755</v>
      </c>
      <c r="P2">
        <v>46.023565457502741</v>
      </c>
      <c r="R2">
        <v>47.911489577232942</v>
      </c>
      <c r="S2">
        <v>46.057782636994098</v>
      </c>
      <c r="T2">
        <v>47.040421065081759</v>
      </c>
      <c r="U2">
        <v>52.884317113679288</v>
      </c>
      <c r="V2">
        <v>54.20867693748712</v>
      </c>
      <c r="W2">
        <v>54.590880699562774</v>
      </c>
      <c r="X2">
        <v>52.827383165063267</v>
      </c>
      <c r="Y2">
        <v>62.130832130832133</v>
      </c>
      <c r="Z2">
        <v>62.024612072504354</v>
      </c>
      <c r="AA2">
        <v>64.823716313214817</v>
      </c>
      <c r="AB2">
        <v>63.079574908975282</v>
      </c>
      <c r="AC2">
        <v>62.977932107550146</v>
      </c>
      <c r="AD2">
        <v>62.905583162817891</v>
      </c>
      <c r="AE2">
        <v>68.22721256604062</v>
      </c>
      <c r="AF2">
        <v>67.511720477664753</v>
      </c>
      <c r="AG2">
        <v>67.46853592480484</v>
      </c>
      <c r="AH2">
        <v>69.892108387366122</v>
      </c>
      <c r="AI2">
        <v>78.654244306418221</v>
      </c>
      <c r="AJ2">
        <v>81.849710982658948</v>
      </c>
    </row>
    <row r="3" spans="1:36" x14ac:dyDescent="0.2">
      <c r="A3" s="11"/>
      <c r="B3">
        <v>2017</v>
      </c>
      <c r="C3">
        <v>24.11614368876899</v>
      </c>
      <c r="D3">
        <v>25.7807902185532</v>
      </c>
      <c r="E3">
        <v>29.230578642701083</v>
      </c>
      <c r="F3">
        <v>29.127507197411308</v>
      </c>
      <c r="G3">
        <v>29.641740119419961</v>
      </c>
      <c r="H3">
        <v>37.753577165913249</v>
      </c>
      <c r="I3">
        <v>39.764670387690444</v>
      </c>
      <c r="J3">
        <v>38.869171602452958</v>
      </c>
      <c r="K3">
        <v>34.79658982113277</v>
      </c>
      <c r="L3">
        <v>36.417322834645667</v>
      </c>
      <c r="M3">
        <v>42.064499885056215</v>
      </c>
      <c r="N3">
        <v>44.442985795678318</v>
      </c>
      <c r="O3">
        <v>75.276908558088707</v>
      </c>
      <c r="P3">
        <v>45.696762006807589</v>
      </c>
      <c r="R3">
        <v>49.186232877844049</v>
      </c>
      <c r="S3">
        <v>47.156985042270428</v>
      </c>
      <c r="T3">
        <v>46.329233908701774</v>
      </c>
      <c r="U3">
        <v>54.976395673272947</v>
      </c>
      <c r="V3">
        <v>55.241589483806884</v>
      </c>
      <c r="W3">
        <v>55.142384947876941</v>
      </c>
      <c r="X3">
        <v>56.604890757297653</v>
      </c>
      <c r="Y3">
        <v>59.644520826737818</v>
      </c>
      <c r="Z3">
        <v>62.302278915089452</v>
      </c>
      <c r="AA3">
        <v>63.754994054796221</v>
      </c>
      <c r="AB3">
        <v>63.449571731862662</v>
      </c>
      <c r="AD3">
        <v>66.250507511165253</v>
      </c>
      <c r="AE3">
        <v>69.547535944154475</v>
      </c>
      <c r="AF3">
        <v>71.590048228737729</v>
      </c>
      <c r="AG3">
        <v>70.596658711217188</v>
      </c>
      <c r="AH3">
        <v>71.313943894389439</v>
      </c>
      <c r="AI3">
        <v>78.011397720455918</v>
      </c>
      <c r="AJ3">
        <v>82.068444348483212</v>
      </c>
    </row>
    <row r="4" spans="1:36" x14ac:dyDescent="0.2">
      <c r="A4" s="11"/>
      <c r="B4">
        <v>2018</v>
      </c>
      <c r="C4">
        <v>24.581729212391608</v>
      </c>
      <c r="D4">
        <v>26.205283964902133</v>
      </c>
      <c r="E4">
        <v>28.794195015381874</v>
      </c>
      <c r="F4">
        <v>29.308639533158598</v>
      </c>
      <c r="G4">
        <v>29.548327294177131</v>
      </c>
      <c r="H4">
        <v>37.546368174930038</v>
      </c>
      <c r="I4">
        <v>38.34749034749035</v>
      </c>
      <c r="J4">
        <v>38.426984091063389</v>
      </c>
      <c r="K4">
        <v>39.545136955430216</v>
      </c>
      <c r="L4">
        <v>40.603248259860791</v>
      </c>
      <c r="M4">
        <v>42.812602189822172</v>
      </c>
      <c r="N4">
        <v>44.890660308535438</v>
      </c>
      <c r="O4">
        <v>45.477456052391048</v>
      </c>
      <c r="P4">
        <v>45.561004442227947</v>
      </c>
      <c r="Q4">
        <v>45.635929543837896</v>
      </c>
      <c r="R4">
        <v>46.701672166946793</v>
      </c>
      <c r="S4">
        <v>47.32508408093824</v>
      </c>
      <c r="T4">
        <v>47.571083011957072</v>
      </c>
      <c r="U4">
        <v>51.092902428417752</v>
      </c>
      <c r="V4">
        <v>52.606832238470695</v>
      </c>
      <c r="W4">
        <v>55.220984099161136</v>
      </c>
      <c r="X4">
        <v>55.589178447224604</v>
      </c>
      <c r="Y4">
        <v>59.241189844638122</v>
      </c>
      <c r="Z4">
        <v>63.177267092590824</v>
      </c>
      <c r="AA4">
        <v>63.456584892151461</v>
      </c>
      <c r="AB4">
        <v>63.928158390875438</v>
      </c>
      <c r="AC4">
        <v>65.737330054822564</v>
      </c>
      <c r="AD4">
        <v>66.522847617179835</v>
      </c>
      <c r="AE4">
        <v>68.361006082525066</v>
      </c>
      <c r="AF4">
        <v>69.8110919069711</v>
      </c>
      <c r="AG4">
        <v>69.965590693101746</v>
      </c>
      <c r="AH4">
        <v>70.046112281992166</v>
      </c>
      <c r="AI4">
        <v>79.475503556471452</v>
      </c>
      <c r="AJ4">
        <v>82.39050072812816</v>
      </c>
    </row>
    <row r="6" spans="1:36" x14ac:dyDescent="0.2">
      <c r="B6" t="s">
        <v>12</v>
      </c>
      <c r="C6" t="s">
        <v>45</v>
      </c>
      <c r="D6" t="s">
        <v>56</v>
      </c>
      <c r="E6" t="s">
        <v>24</v>
      </c>
      <c r="F6" t="s">
        <v>32</v>
      </c>
      <c r="G6" t="s">
        <v>46</v>
      </c>
      <c r="H6" t="s">
        <v>41</v>
      </c>
      <c r="I6" t="s">
        <v>37</v>
      </c>
      <c r="J6" t="s">
        <v>47</v>
      </c>
      <c r="K6" t="s">
        <v>49</v>
      </c>
      <c r="L6" t="s">
        <v>51</v>
      </c>
      <c r="M6" t="s">
        <v>44</v>
      </c>
      <c r="N6" t="s">
        <v>53</v>
      </c>
      <c r="O6" t="s">
        <v>38</v>
      </c>
      <c r="P6" t="s">
        <v>40</v>
      </c>
      <c r="Q6" t="s">
        <v>28</v>
      </c>
      <c r="R6" t="s">
        <v>23</v>
      </c>
      <c r="S6" t="s">
        <v>33</v>
      </c>
      <c r="T6" t="s">
        <v>42</v>
      </c>
      <c r="U6" t="s">
        <v>26</v>
      </c>
      <c r="V6" t="s">
        <v>57</v>
      </c>
      <c r="W6" t="s">
        <v>27</v>
      </c>
      <c r="X6" t="s">
        <v>52</v>
      </c>
      <c r="Y6" t="s">
        <v>35</v>
      </c>
      <c r="Z6" t="s">
        <v>43</v>
      </c>
      <c r="AA6" t="s">
        <v>30</v>
      </c>
      <c r="AB6" t="s">
        <v>31</v>
      </c>
      <c r="AC6" t="s">
        <v>22</v>
      </c>
      <c r="AD6" t="s">
        <v>39</v>
      </c>
      <c r="AE6" t="s">
        <v>25</v>
      </c>
      <c r="AF6" t="s">
        <v>48</v>
      </c>
      <c r="AG6" t="s">
        <v>50</v>
      </c>
      <c r="AH6" t="s">
        <v>29</v>
      </c>
      <c r="AI6" t="s">
        <v>36</v>
      </c>
      <c r="AJ6" t="s">
        <v>34</v>
      </c>
    </row>
    <row r="7" spans="1:36" x14ac:dyDescent="0.2">
      <c r="A7" s="11" t="s">
        <v>77</v>
      </c>
      <c r="B7">
        <v>2016</v>
      </c>
      <c r="C7" s="8">
        <f>C2/100</f>
        <v>0.22313233987960099</v>
      </c>
      <c r="D7" s="8">
        <f t="shared" ref="D7:AJ9" si="0">D2/100</f>
        <v>0.25581413720099849</v>
      </c>
      <c r="E7" s="8">
        <f t="shared" si="0"/>
        <v>0.29289877456230345</v>
      </c>
      <c r="F7" s="8">
        <f t="shared" si="0"/>
        <v>0.2826919202095507</v>
      </c>
      <c r="G7" s="8">
        <f t="shared" si="0"/>
        <v>0.29390451832907077</v>
      </c>
      <c r="H7" s="8">
        <f t="shared" si="0"/>
        <v>0.3804421943450686</v>
      </c>
      <c r="I7" s="8">
        <f t="shared" si="0"/>
        <v>0.38388845855925635</v>
      </c>
      <c r="J7" s="8">
        <f t="shared" si="0"/>
        <v>0.40151349512912082</v>
      </c>
      <c r="K7" s="8">
        <f t="shared" si="0"/>
        <v>0.36758079706749802</v>
      </c>
      <c r="L7" s="8">
        <f t="shared" si="0"/>
        <v>0</v>
      </c>
      <c r="M7" s="8">
        <f t="shared" si="0"/>
        <v>0.413463759897507</v>
      </c>
      <c r="N7" s="8">
        <f t="shared" si="0"/>
        <v>0.43736405026727609</v>
      </c>
      <c r="O7" s="8">
        <f t="shared" si="0"/>
        <v>0.73605089704275495</v>
      </c>
      <c r="P7" s="8">
        <f t="shared" si="0"/>
        <v>0.46023565457502741</v>
      </c>
      <c r="Q7" s="8">
        <f t="shared" si="0"/>
        <v>0</v>
      </c>
      <c r="R7" s="8">
        <f t="shared" si="0"/>
        <v>0.47911489577232941</v>
      </c>
      <c r="S7" s="8">
        <f t="shared" si="0"/>
        <v>0.46057782636994099</v>
      </c>
      <c r="T7" s="8">
        <f t="shared" si="0"/>
        <v>0.47040421065081761</v>
      </c>
      <c r="U7" s="8">
        <f t="shared" si="0"/>
        <v>0.52884317113679291</v>
      </c>
      <c r="V7" s="8">
        <f t="shared" si="0"/>
        <v>0.54208676937487121</v>
      </c>
      <c r="W7" s="8">
        <f t="shared" si="0"/>
        <v>0.54590880699562772</v>
      </c>
      <c r="X7" s="8">
        <f t="shared" si="0"/>
        <v>0.52827383165063269</v>
      </c>
      <c r="Y7" s="8">
        <f t="shared" si="0"/>
        <v>0.62130832130832137</v>
      </c>
      <c r="Z7" s="8">
        <f t="shared" si="0"/>
        <v>0.62024612072504359</v>
      </c>
      <c r="AA7" s="8">
        <f t="shared" si="0"/>
        <v>0.64823716313214819</v>
      </c>
      <c r="AB7" s="8">
        <f t="shared" si="0"/>
        <v>0.63079574908975278</v>
      </c>
      <c r="AC7" s="8">
        <f t="shared" si="0"/>
        <v>0.6297793210755015</v>
      </c>
      <c r="AD7" s="8">
        <f t="shared" si="0"/>
        <v>0.62905583162817891</v>
      </c>
      <c r="AE7" s="8">
        <f t="shared" si="0"/>
        <v>0.68227212566040618</v>
      </c>
      <c r="AF7" s="8">
        <f t="shared" si="0"/>
        <v>0.67511720477664749</v>
      </c>
      <c r="AG7" s="8">
        <f t="shared" si="0"/>
        <v>0.6746853592480484</v>
      </c>
      <c r="AH7" s="8">
        <f t="shared" si="0"/>
        <v>0.69892108387366125</v>
      </c>
      <c r="AI7" s="8">
        <f t="shared" si="0"/>
        <v>0.7865424430641822</v>
      </c>
      <c r="AJ7" s="8">
        <f t="shared" si="0"/>
        <v>0.81849710982658952</v>
      </c>
    </row>
    <row r="8" spans="1:36" x14ac:dyDescent="0.2">
      <c r="A8" s="11"/>
      <c r="B8">
        <v>2017</v>
      </c>
      <c r="C8" s="8">
        <f t="shared" ref="C8:R9" si="1">C3/100</f>
        <v>0.2411614368876899</v>
      </c>
      <c r="D8" s="8">
        <f t="shared" si="1"/>
        <v>0.25780790218553201</v>
      </c>
      <c r="E8" s="8">
        <f t="shared" si="1"/>
        <v>0.29230578642701083</v>
      </c>
      <c r="F8" s="8">
        <f t="shared" si="1"/>
        <v>0.29127507197411306</v>
      </c>
      <c r="G8" s="8">
        <f t="shared" si="1"/>
        <v>0.29641740119419963</v>
      </c>
      <c r="H8" s="8">
        <f t="shared" si="1"/>
        <v>0.37753577165913249</v>
      </c>
      <c r="I8" s="8">
        <f t="shared" si="1"/>
        <v>0.39764670387690443</v>
      </c>
      <c r="J8" s="8">
        <f t="shared" si="1"/>
        <v>0.38869171602452957</v>
      </c>
      <c r="K8" s="8">
        <f t="shared" si="1"/>
        <v>0.34796589821132767</v>
      </c>
      <c r="L8" s="8">
        <f t="shared" si="1"/>
        <v>0.36417322834645666</v>
      </c>
      <c r="M8" s="8">
        <f t="shared" si="1"/>
        <v>0.42064499885056217</v>
      </c>
      <c r="N8" s="8">
        <f t="shared" si="1"/>
        <v>0.44442985795678319</v>
      </c>
      <c r="O8" s="8">
        <f t="shared" si="1"/>
        <v>0.75276908558088707</v>
      </c>
      <c r="P8" s="8">
        <f t="shared" si="1"/>
        <v>0.4569676200680759</v>
      </c>
      <c r="Q8" s="8">
        <f t="shared" si="1"/>
        <v>0</v>
      </c>
      <c r="R8" s="8">
        <f t="shared" si="1"/>
        <v>0.49186232877844049</v>
      </c>
      <c r="S8" s="8">
        <f t="shared" si="0"/>
        <v>0.47156985042270427</v>
      </c>
      <c r="T8" s="8">
        <f t="shared" si="0"/>
        <v>0.46329233908701772</v>
      </c>
      <c r="U8" s="8">
        <f t="shared" si="0"/>
        <v>0.54976395673272949</v>
      </c>
      <c r="V8" s="8">
        <f t="shared" si="0"/>
        <v>0.55241589483806885</v>
      </c>
      <c r="W8" s="8">
        <f t="shared" si="0"/>
        <v>0.55142384947876943</v>
      </c>
      <c r="X8" s="8">
        <f t="shared" si="0"/>
        <v>0.56604890757297655</v>
      </c>
      <c r="Y8" s="8">
        <f t="shared" si="0"/>
        <v>0.59644520826737812</v>
      </c>
      <c r="Z8" s="8">
        <f t="shared" si="0"/>
        <v>0.62302278915089448</v>
      </c>
      <c r="AA8" s="8">
        <f t="shared" si="0"/>
        <v>0.63754994054796221</v>
      </c>
      <c r="AB8" s="8">
        <f t="shared" si="0"/>
        <v>0.63449571731862664</v>
      </c>
      <c r="AC8" s="8">
        <f t="shared" si="0"/>
        <v>0</v>
      </c>
      <c r="AD8" s="8">
        <f t="shared" si="0"/>
        <v>0.66250507511165257</v>
      </c>
      <c r="AE8" s="8">
        <f t="shared" si="0"/>
        <v>0.6954753594415447</v>
      </c>
      <c r="AF8" s="8">
        <f t="shared" si="0"/>
        <v>0.71590048228737724</v>
      </c>
      <c r="AG8" s="8">
        <f t="shared" si="0"/>
        <v>0.70596658711217186</v>
      </c>
      <c r="AH8" s="8">
        <f t="shared" si="0"/>
        <v>0.71313943894389442</v>
      </c>
      <c r="AI8" s="8">
        <f t="shared" si="0"/>
        <v>0.78011397720455922</v>
      </c>
      <c r="AJ8" s="8">
        <f t="shared" si="0"/>
        <v>0.82068444348483216</v>
      </c>
    </row>
    <row r="9" spans="1:36" x14ac:dyDescent="0.2">
      <c r="A9" s="11"/>
      <c r="B9">
        <v>2018</v>
      </c>
      <c r="C9" s="8">
        <f t="shared" si="1"/>
        <v>0.24581729212391606</v>
      </c>
      <c r="D9" s="8">
        <f t="shared" si="0"/>
        <v>0.26205283964902132</v>
      </c>
      <c r="E9" s="8">
        <f t="shared" si="0"/>
        <v>0.28794195015381874</v>
      </c>
      <c r="F9" s="8">
        <f t="shared" si="0"/>
        <v>0.29308639533158598</v>
      </c>
      <c r="G9" s="8">
        <f t="shared" si="0"/>
        <v>0.29548327294177129</v>
      </c>
      <c r="H9" s="8">
        <f t="shared" si="0"/>
        <v>0.37546368174930039</v>
      </c>
      <c r="I9" s="8">
        <f t="shared" si="0"/>
        <v>0.38347490347490348</v>
      </c>
      <c r="J9" s="8">
        <f t="shared" si="0"/>
        <v>0.38426984091063388</v>
      </c>
      <c r="K9" s="8">
        <f t="shared" si="0"/>
        <v>0.39545136955430216</v>
      </c>
      <c r="L9" s="8">
        <f t="shared" si="0"/>
        <v>0.40603248259860791</v>
      </c>
      <c r="M9" s="8">
        <f t="shared" si="0"/>
        <v>0.42812602189822174</v>
      </c>
      <c r="N9" s="8">
        <f t="shared" si="0"/>
        <v>0.44890660308535435</v>
      </c>
      <c r="O9" s="8">
        <f t="shared" si="0"/>
        <v>0.45477456052391046</v>
      </c>
      <c r="P9" s="8">
        <f t="shared" si="0"/>
        <v>0.45561004442227948</v>
      </c>
      <c r="Q9" s="8">
        <f t="shared" si="0"/>
        <v>0.45635929543837894</v>
      </c>
      <c r="R9" s="8">
        <f t="shared" si="0"/>
        <v>0.46701672166946795</v>
      </c>
      <c r="S9" s="8">
        <f t="shared" si="0"/>
        <v>0.4732508408093824</v>
      </c>
      <c r="T9" s="8">
        <f t="shared" si="0"/>
        <v>0.47571083011957072</v>
      </c>
      <c r="U9" s="8">
        <f t="shared" si="0"/>
        <v>0.51092902428417752</v>
      </c>
      <c r="V9" s="8">
        <f t="shared" si="0"/>
        <v>0.52606832238470691</v>
      </c>
      <c r="W9" s="8">
        <f t="shared" si="0"/>
        <v>0.55220984099161141</v>
      </c>
      <c r="X9" s="8">
        <f t="shared" si="0"/>
        <v>0.55589178447224608</v>
      </c>
      <c r="Y9" s="8">
        <f t="shared" si="0"/>
        <v>0.5924118984463812</v>
      </c>
      <c r="Z9" s="8">
        <f t="shared" si="0"/>
        <v>0.63177267092590828</v>
      </c>
      <c r="AA9" s="8">
        <f t="shared" si="0"/>
        <v>0.63456584892151457</v>
      </c>
      <c r="AB9" s="8">
        <f t="shared" si="0"/>
        <v>0.63928158390875434</v>
      </c>
      <c r="AC9" s="8">
        <f t="shared" si="0"/>
        <v>0.65737330054822563</v>
      </c>
      <c r="AD9" s="8">
        <f t="shared" si="0"/>
        <v>0.66522847617179837</v>
      </c>
      <c r="AE9" s="8">
        <f t="shared" si="0"/>
        <v>0.68361006082525066</v>
      </c>
      <c r="AF9" s="8">
        <f t="shared" si="0"/>
        <v>0.69811091906971101</v>
      </c>
      <c r="AG9" s="8">
        <f t="shared" si="0"/>
        <v>0.69965590693101742</v>
      </c>
      <c r="AH9" s="8">
        <f t="shared" si="0"/>
        <v>0.70046112281992168</v>
      </c>
      <c r="AI9" s="8">
        <f t="shared" si="0"/>
        <v>0.7947550355647145</v>
      </c>
      <c r="AJ9" s="8">
        <f t="shared" si="0"/>
        <v>0.82390500728128158</v>
      </c>
    </row>
  </sheetData>
  <mergeCells count="2">
    <mergeCell ref="A2:A4"/>
    <mergeCell ref="A7:A9"/>
  </mergeCells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abSelected="1" workbookViewId="0">
      <selection activeCell="A28" sqref="A28"/>
    </sheetView>
  </sheetViews>
  <sheetFormatPr defaultRowHeight="14.25" x14ac:dyDescent="0.2"/>
  <cols>
    <col min="1" max="4" width="13.75" customWidth="1"/>
  </cols>
  <sheetData>
    <row r="1" spans="1:4" x14ac:dyDescent="0.2">
      <c r="A1" t="s">
        <v>12</v>
      </c>
      <c r="B1">
        <v>2016</v>
      </c>
      <c r="C1">
        <v>2017</v>
      </c>
      <c r="D1">
        <v>2018</v>
      </c>
    </row>
    <row r="2" spans="1:4" x14ac:dyDescent="0.2">
      <c r="A2" t="s">
        <v>41</v>
      </c>
      <c r="B2">
        <v>38.044219434506857</v>
      </c>
      <c r="C2">
        <v>37.753577165913249</v>
      </c>
      <c r="D2">
        <v>37.546368174930038</v>
      </c>
    </row>
    <row r="3" spans="1:4" x14ac:dyDescent="0.2">
      <c r="A3" t="s">
        <v>22</v>
      </c>
      <c r="B3">
        <v>62.977932107550146</v>
      </c>
      <c r="D3">
        <v>65.737330054822564</v>
      </c>
    </row>
    <row r="4" spans="1:4" x14ac:dyDescent="0.2">
      <c r="A4" t="s">
        <v>23</v>
      </c>
      <c r="B4">
        <v>47.911489577232942</v>
      </c>
      <c r="C4">
        <v>49.186232877844049</v>
      </c>
      <c r="D4">
        <v>46.701672166946793</v>
      </c>
    </row>
    <row r="5" spans="1:4" x14ac:dyDescent="0.2">
      <c r="A5" t="s">
        <v>32</v>
      </c>
      <c r="B5">
        <v>28.269192020955067</v>
      </c>
      <c r="C5">
        <v>29.127507197411308</v>
      </c>
      <c r="D5">
        <v>29.308639533158598</v>
      </c>
    </row>
    <row r="6" spans="1:4" x14ac:dyDescent="0.2">
      <c r="A6" t="s">
        <v>34</v>
      </c>
      <c r="B6">
        <v>81.849710982658948</v>
      </c>
      <c r="C6">
        <v>82.068444348483212</v>
      </c>
      <c r="D6">
        <v>82.39050072812816</v>
      </c>
    </row>
    <row r="7" spans="1:4" x14ac:dyDescent="0.2">
      <c r="A7" t="s">
        <v>80</v>
      </c>
      <c r="B7">
        <v>29.289877456230343</v>
      </c>
      <c r="C7">
        <v>29.230578642701083</v>
      </c>
      <c r="D7">
        <v>28.794195015381874</v>
      </c>
    </row>
    <row r="8" spans="1:4" x14ac:dyDescent="0.2">
      <c r="A8" t="s">
        <v>25</v>
      </c>
      <c r="B8">
        <v>68.22721256604062</v>
      </c>
      <c r="C8">
        <v>69.547535944154475</v>
      </c>
      <c r="D8">
        <v>68.361006082525066</v>
      </c>
    </row>
    <row r="9" spans="1:4" x14ac:dyDescent="0.2">
      <c r="A9" t="s">
        <v>27</v>
      </c>
      <c r="B9">
        <v>54.590880699562774</v>
      </c>
      <c r="C9">
        <v>55.142384947876941</v>
      </c>
      <c r="D9">
        <v>55.220984099161136</v>
      </c>
    </row>
    <row r="10" spans="1:4" x14ac:dyDescent="0.2">
      <c r="A10" t="s">
        <v>47</v>
      </c>
      <c r="B10">
        <v>40.151349512912084</v>
      </c>
      <c r="C10">
        <v>38.869171602452958</v>
      </c>
      <c r="D10">
        <v>38.426984091063389</v>
      </c>
    </row>
    <row r="11" spans="1:4" x14ac:dyDescent="0.2">
      <c r="A11" t="s">
        <v>31</v>
      </c>
      <c r="B11">
        <v>63.079574908975282</v>
      </c>
      <c r="C11">
        <v>63.449571731862662</v>
      </c>
      <c r="D11">
        <v>63.928158390875438</v>
      </c>
    </row>
    <row r="12" spans="1:4" x14ac:dyDescent="0.2">
      <c r="A12" t="s">
        <v>79</v>
      </c>
      <c r="B12">
        <v>52.884317113679288</v>
      </c>
      <c r="C12">
        <v>54.976395673272947</v>
      </c>
      <c r="D12">
        <v>51.092902428417752</v>
      </c>
    </row>
    <row r="13" spans="1:4" x14ac:dyDescent="0.2">
      <c r="A13" t="s">
        <v>29</v>
      </c>
      <c r="B13">
        <v>69.892108387366122</v>
      </c>
      <c r="C13">
        <v>71.313943894389439</v>
      </c>
      <c r="D13">
        <v>70.046112281992166</v>
      </c>
    </row>
    <row r="14" spans="1:4" x14ac:dyDescent="0.2">
      <c r="A14" t="s">
        <v>38</v>
      </c>
      <c r="B14">
        <v>73.6050897042755</v>
      </c>
      <c r="C14">
        <v>75.276908558088707</v>
      </c>
      <c r="D14">
        <v>45.477456052391048</v>
      </c>
    </row>
    <row r="15" spans="1:4" x14ac:dyDescent="0.2">
      <c r="A15" t="s">
        <v>50</v>
      </c>
      <c r="B15">
        <v>67.46853592480484</v>
      </c>
      <c r="C15">
        <v>70.596658711217188</v>
      </c>
      <c r="D15">
        <v>69.965590693101746</v>
      </c>
    </row>
    <row r="16" spans="1:4" x14ac:dyDescent="0.2">
      <c r="A16" t="s">
        <v>28</v>
      </c>
      <c r="D16">
        <v>45.635929543837896</v>
      </c>
    </row>
    <row r="17" spans="1:4" x14ac:dyDescent="0.2">
      <c r="A17" t="s">
        <v>33</v>
      </c>
      <c r="B17">
        <v>46.057782636994098</v>
      </c>
      <c r="C17">
        <v>47.156985042270428</v>
      </c>
      <c r="D17">
        <v>47.32508408093824</v>
      </c>
    </row>
    <row r="18" spans="1:4" x14ac:dyDescent="0.2">
      <c r="A18" t="s">
        <v>35</v>
      </c>
      <c r="B18">
        <v>62.130832130832133</v>
      </c>
      <c r="C18">
        <v>59.644520826737818</v>
      </c>
      <c r="D18">
        <v>59.241189844638122</v>
      </c>
    </row>
    <row r="19" spans="1:4" x14ac:dyDescent="0.2">
      <c r="A19" t="s">
        <v>51</v>
      </c>
      <c r="C19">
        <v>36.417322834645667</v>
      </c>
      <c r="D19">
        <v>40.603248259860791</v>
      </c>
    </row>
    <row r="20" spans="1:4" x14ac:dyDescent="0.2">
      <c r="A20" t="s">
        <v>36</v>
      </c>
      <c r="B20">
        <v>78.654244306418221</v>
      </c>
      <c r="C20">
        <v>78.011397720455918</v>
      </c>
      <c r="D20">
        <v>79.475503556471452</v>
      </c>
    </row>
    <row r="21" spans="1:4" x14ac:dyDescent="0.2">
      <c r="A21" t="s">
        <v>37</v>
      </c>
      <c r="B21">
        <v>38.388845855925638</v>
      </c>
      <c r="C21">
        <v>39.764670387690444</v>
      </c>
      <c r="D21">
        <v>38.34749034749035</v>
      </c>
    </row>
    <row r="22" spans="1:4" x14ac:dyDescent="0.2">
      <c r="A22" t="s">
        <v>39</v>
      </c>
      <c r="B22">
        <v>62.905583162817891</v>
      </c>
      <c r="C22">
        <v>66.250507511165253</v>
      </c>
      <c r="D22">
        <v>66.522847617179835</v>
      </c>
    </row>
    <row r="23" spans="1:4" x14ac:dyDescent="0.2">
      <c r="A23" t="s">
        <v>40</v>
      </c>
      <c r="B23">
        <v>46.023565457502741</v>
      </c>
      <c r="C23">
        <v>45.696762006807589</v>
      </c>
      <c r="D23">
        <v>45.561004442227947</v>
      </c>
    </row>
    <row r="24" spans="1:4" x14ac:dyDescent="0.2">
      <c r="A24" t="s">
        <v>52</v>
      </c>
      <c r="B24">
        <v>52.827383165063267</v>
      </c>
      <c r="C24">
        <v>56.604890757297653</v>
      </c>
      <c r="D24">
        <v>55.589178447224604</v>
      </c>
    </row>
    <row r="25" spans="1:4" x14ac:dyDescent="0.2">
      <c r="A25" t="s">
        <v>42</v>
      </c>
      <c r="B25">
        <v>47.040421065081759</v>
      </c>
      <c r="C25">
        <v>46.329233908701774</v>
      </c>
      <c r="D25">
        <v>47.571083011957072</v>
      </c>
    </row>
    <row r="26" spans="1:4" x14ac:dyDescent="0.2">
      <c r="A26" t="s">
        <v>43</v>
      </c>
      <c r="B26">
        <v>62.024612072504354</v>
      </c>
      <c r="C26">
        <v>62.302278915089452</v>
      </c>
      <c r="D26">
        <v>63.177267092590824</v>
      </c>
    </row>
    <row r="27" spans="1:4" x14ac:dyDescent="0.2">
      <c r="A27" t="s">
        <v>44</v>
      </c>
      <c r="B27">
        <v>41.346375989750697</v>
      </c>
      <c r="C27">
        <v>42.064499885056215</v>
      </c>
      <c r="D27">
        <v>42.812602189822172</v>
      </c>
    </row>
    <row r="28" spans="1:4" x14ac:dyDescent="0.2">
      <c r="A28" t="s">
        <v>81</v>
      </c>
      <c r="B28">
        <v>25.581413720099849</v>
      </c>
      <c r="C28">
        <v>25.7807902185532</v>
      </c>
      <c r="D28">
        <v>26.205283964902133</v>
      </c>
    </row>
    <row r="29" spans="1:4" x14ac:dyDescent="0.2">
      <c r="A29" t="s">
        <v>46</v>
      </c>
      <c r="B29">
        <v>29.390451832907075</v>
      </c>
      <c r="C29">
        <v>29.641740119419961</v>
      </c>
      <c r="D29">
        <v>29.548327294177131</v>
      </c>
    </row>
    <row r="30" spans="1:4" x14ac:dyDescent="0.2">
      <c r="A30" t="s">
        <v>45</v>
      </c>
      <c r="B30">
        <v>22.313233987960128</v>
      </c>
      <c r="C30">
        <v>24.11614368876899</v>
      </c>
      <c r="D30">
        <v>24.581729212391608</v>
      </c>
    </row>
    <row r="31" spans="1:4" x14ac:dyDescent="0.2">
      <c r="A31" t="s">
        <v>30</v>
      </c>
      <c r="B31">
        <v>64.823716313214817</v>
      </c>
      <c r="C31">
        <v>63.754994054796221</v>
      </c>
      <c r="D31">
        <v>63.456584892151461</v>
      </c>
    </row>
    <row r="32" spans="1:4" x14ac:dyDescent="0.2">
      <c r="A32" t="s">
        <v>48</v>
      </c>
      <c r="B32">
        <v>67.511720477664753</v>
      </c>
      <c r="C32">
        <v>71.590048228737729</v>
      </c>
      <c r="D32">
        <v>69.8110919069711</v>
      </c>
    </row>
    <row r="33" spans="1:4" x14ac:dyDescent="0.2">
      <c r="A33" t="s">
        <v>53</v>
      </c>
      <c r="B33">
        <v>43.73640502672761</v>
      </c>
      <c r="C33">
        <v>44.442985795678318</v>
      </c>
      <c r="D33">
        <v>44.890660308535438</v>
      </c>
    </row>
    <row r="34" spans="1:4" x14ac:dyDescent="0.2">
      <c r="A34" t="s">
        <v>57</v>
      </c>
      <c r="B34">
        <v>54.20867693748712</v>
      </c>
      <c r="C34">
        <v>55.241589483806884</v>
      </c>
      <c r="D34">
        <v>52.606832238470695</v>
      </c>
    </row>
    <row r="35" spans="1:4" x14ac:dyDescent="0.2">
      <c r="A35" t="s">
        <v>49</v>
      </c>
      <c r="B35">
        <v>36.758079706749804</v>
      </c>
      <c r="C35">
        <v>34.79658982113277</v>
      </c>
      <c r="D35">
        <v>39.545136955430216</v>
      </c>
    </row>
  </sheetData>
  <autoFilter ref="A1:D35" xr:uid="{B42A9658-733D-4806-8BAC-061DDD7210E8}">
    <sortState ref="A2:D35">
      <sortCondition ref="A1:A35"/>
    </sortState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2"/>
  <sheetViews>
    <sheetView topLeftCell="C1" zoomScale="85" zoomScaleNormal="85" workbookViewId="0">
      <selection activeCell="J44" sqref="J44"/>
    </sheetView>
  </sheetViews>
  <sheetFormatPr defaultRowHeight="14.25" x14ac:dyDescent="0.2"/>
  <cols>
    <col min="4" max="4" width="15.5" customWidth="1"/>
    <col min="11" max="11" width="11.875" bestFit="1" customWidth="1"/>
  </cols>
  <sheetData>
    <row r="1" spans="1:6" x14ac:dyDescent="0.2">
      <c r="A1" s="1" t="s">
        <v>0</v>
      </c>
    </row>
    <row r="3" spans="1:6" x14ac:dyDescent="0.2">
      <c r="A3" s="1" t="s">
        <v>1</v>
      </c>
      <c r="B3" s="2">
        <v>43990.837187500001</v>
      </c>
    </row>
    <row r="4" spans="1:6" x14ac:dyDescent="0.2">
      <c r="A4" s="1" t="s">
        <v>2</v>
      </c>
      <c r="B4" s="2">
        <v>44002.107865983795</v>
      </c>
    </row>
    <row r="5" spans="1:6" x14ac:dyDescent="0.2">
      <c r="A5" s="1" t="s">
        <v>3</v>
      </c>
      <c r="B5" s="1" t="s">
        <v>4</v>
      </c>
    </row>
    <row r="7" spans="1:6" x14ac:dyDescent="0.2">
      <c r="A7" s="1" t="s">
        <v>5</v>
      </c>
      <c r="B7" s="1" t="s">
        <v>6</v>
      </c>
    </row>
    <row r="8" spans="1:6" x14ac:dyDescent="0.2">
      <c r="A8" s="1" t="s">
        <v>7</v>
      </c>
      <c r="B8" s="1" t="s">
        <v>8</v>
      </c>
    </row>
    <row r="9" spans="1:6" x14ac:dyDescent="0.2">
      <c r="A9" s="1" t="s">
        <v>9</v>
      </c>
      <c r="B9" s="1" t="s">
        <v>8</v>
      </c>
    </row>
    <row r="10" spans="1:6" x14ac:dyDescent="0.2">
      <c r="A10" s="1" t="s">
        <v>10</v>
      </c>
      <c r="B10" s="1" t="s">
        <v>61</v>
      </c>
    </row>
    <row r="11" spans="1:6" x14ac:dyDescent="0.2">
      <c r="A11" s="1"/>
      <c r="B11" s="1"/>
    </row>
    <row r="12" spans="1:6" x14ac:dyDescent="0.2">
      <c r="A12" s="10">
        <v>2018</v>
      </c>
      <c r="B12" s="10"/>
      <c r="C12" s="10"/>
      <c r="D12" s="7"/>
    </row>
    <row r="13" spans="1:6" x14ac:dyDescent="0.2">
      <c r="A13" s="3" t="s">
        <v>12</v>
      </c>
      <c r="B13" s="6" t="s">
        <v>77</v>
      </c>
      <c r="C13" s="6" t="s">
        <v>76</v>
      </c>
      <c r="D13" s="3" t="s">
        <v>12</v>
      </c>
      <c r="E13" s="6" t="s">
        <v>77</v>
      </c>
      <c r="F13" s="6" t="s">
        <v>76</v>
      </c>
    </row>
    <row r="14" spans="1:6" x14ac:dyDescent="0.2">
      <c r="A14" s="3" t="s">
        <v>45</v>
      </c>
      <c r="B14" s="5">
        <v>6832</v>
      </c>
      <c r="C14" s="5">
        <v>20961</v>
      </c>
      <c r="D14" s="3" t="s">
        <v>45</v>
      </c>
      <c r="E14">
        <f t="shared" ref="E14:E47" si="0">B14/((B14+C14)/100)</f>
        <v>24.581729212391608</v>
      </c>
      <c r="F14">
        <f t="shared" ref="F14:F47" si="1">C14/((B14+C14)/100)</f>
        <v>75.418270787608392</v>
      </c>
    </row>
    <row r="15" spans="1:6" x14ac:dyDescent="0.2">
      <c r="A15" s="3" t="s">
        <v>56</v>
      </c>
      <c r="B15" s="5">
        <v>65226</v>
      </c>
      <c r="C15" s="5">
        <v>183678</v>
      </c>
      <c r="D15" s="3" t="s">
        <v>56</v>
      </c>
      <c r="E15">
        <f t="shared" si="0"/>
        <v>26.205283964902133</v>
      </c>
      <c r="F15">
        <f t="shared" si="1"/>
        <v>73.794716035097863</v>
      </c>
    </row>
    <row r="16" spans="1:6" x14ac:dyDescent="0.2">
      <c r="A16" s="3" t="s">
        <v>24</v>
      </c>
      <c r="B16" s="5">
        <v>25833</v>
      </c>
      <c r="C16" s="5">
        <v>63883</v>
      </c>
      <c r="D16" s="3" t="s">
        <v>24</v>
      </c>
      <c r="E16">
        <f t="shared" si="0"/>
        <v>28.794195015381874</v>
      </c>
      <c r="F16">
        <f t="shared" si="1"/>
        <v>71.205804984618126</v>
      </c>
    </row>
    <row r="17" spans="1:6" x14ac:dyDescent="0.2">
      <c r="A17" s="3" t="s">
        <v>32</v>
      </c>
      <c r="B17" s="5">
        <v>11853</v>
      </c>
      <c r="C17" s="5">
        <v>28589</v>
      </c>
      <c r="D17" s="3" t="s">
        <v>32</v>
      </c>
      <c r="E17">
        <f t="shared" si="0"/>
        <v>29.308639533158598</v>
      </c>
      <c r="F17">
        <f t="shared" si="1"/>
        <v>70.691360466841402</v>
      </c>
    </row>
    <row r="18" spans="1:6" x14ac:dyDescent="0.2">
      <c r="A18" s="3" t="s">
        <v>46</v>
      </c>
      <c r="B18" s="5">
        <v>14026</v>
      </c>
      <c r="C18" s="5">
        <v>33442</v>
      </c>
      <c r="D18" s="3" t="s">
        <v>46</v>
      </c>
      <c r="E18">
        <f t="shared" si="0"/>
        <v>29.548327294177131</v>
      </c>
      <c r="F18">
        <f t="shared" si="1"/>
        <v>70.451672705822872</v>
      </c>
    </row>
    <row r="19" spans="1:6" x14ac:dyDescent="0.2">
      <c r="A19" s="3" t="s">
        <v>41</v>
      </c>
      <c r="B19" s="5">
        <v>40386</v>
      </c>
      <c r="C19" s="5">
        <v>67177</v>
      </c>
      <c r="D19" s="3" t="s">
        <v>41</v>
      </c>
      <c r="E19">
        <f t="shared" si="0"/>
        <v>37.546368174930038</v>
      </c>
      <c r="F19">
        <f t="shared" si="1"/>
        <v>62.453631825069955</v>
      </c>
    </row>
    <row r="20" spans="1:6" x14ac:dyDescent="0.2">
      <c r="A20" s="3" t="s">
        <v>37</v>
      </c>
      <c r="B20" s="5">
        <v>2483</v>
      </c>
      <c r="C20" s="5">
        <v>3992</v>
      </c>
      <c r="D20" s="3" t="s">
        <v>37</v>
      </c>
      <c r="E20">
        <f t="shared" si="0"/>
        <v>38.34749034749035</v>
      </c>
      <c r="F20">
        <f t="shared" si="1"/>
        <v>61.65250965250965</v>
      </c>
    </row>
    <row r="21" spans="1:6" x14ac:dyDescent="0.2">
      <c r="A21" s="3" t="s">
        <v>47</v>
      </c>
      <c r="B21" s="5">
        <v>33961</v>
      </c>
      <c r="C21" s="5">
        <v>54417</v>
      </c>
      <c r="D21" s="3" t="s">
        <v>47</v>
      </c>
      <c r="E21">
        <f t="shared" si="0"/>
        <v>38.426984091063389</v>
      </c>
      <c r="F21">
        <f t="shared" si="1"/>
        <v>61.573015908936618</v>
      </c>
    </row>
    <row r="22" spans="1:6" x14ac:dyDescent="0.2">
      <c r="A22" s="3" t="s">
        <v>49</v>
      </c>
      <c r="B22" s="5">
        <v>708045</v>
      </c>
      <c r="C22" s="5">
        <v>1082428</v>
      </c>
      <c r="D22" s="3" t="s">
        <v>49</v>
      </c>
      <c r="E22">
        <f t="shared" si="0"/>
        <v>39.545136955430216</v>
      </c>
      <c r="F22">
        <f t="shared" si="1"/>
        <v>60.454863044569791</v>
      </c>
    </row>
    <row r="23" spans="1:6" x14ac:dyDescent="0.2">
      <c r="A23" s="3" t="s">
        <v>51</v>
      </c>
      <c r="B23" s="5">
        <v>175</v>
      </c>
      <c r="C23" s="5">
        <v>256</v>
      </c>
      <c r="D23" s="3" t="s">
        <v>51</v>
      </c>
      <c r="E23">
        <f t="shared" si="0"/>
        <v>40.603248259860791</v>
      </c>
      <c r="F23">
        <f t="shared" si="1"/>
        <v>59.396751740139216</v>
      </c>
    </row>
    <row r="24" spans="1:6" x14ac:dyDescent="0.2">
      <c r="A24" s="3" t="s">
        <v>44</v>
      </c>
      <c r="B24" s="5">
        <v>75935</v>
      </c>
      <c r="C24" s="5">
        <v>101431</v>
      </c>
      <c r="D24" s="3" t="s">
        <v>44</v>
      </c>
      <c r="E24">
        <f t="shared" si="0"/>
        <v>42.812602189822172</v>
      </c>
      <c r="F24">
        <f t="shared" si="1"/>
        <v>57.187397810177821</v>
      </c>
    </row>
    <row r="25" spans="1:6" x14ac:dyDescent="0.2">
      <c r="A25" s="3" t="s">
        <v>53</v>
      </c>
      <c r="B25" s="5">
        <v>50458</v>
      </c>
      <c r="C25" s="5">
        <v>61944</v>
      </c>
      <c r="D25" s="3" t="s">
        <v>53</v>
      </c>
      <c r="E25">
        <f t="shared" si="0"/>
        <v>44.890660308535438</v>
      </c>
      <c r="F25">
        <f t="shared" si="1"/>
        <v>55.109339691464562</v>
      </c>
    </row>
    <row r="26" spans="1:6" x14ac:dyDescent="0.2">
      <c r="A26" s="3" t="s">
        <v>38</v>
      </c>
      <c r="B26" s="5">
        <v>51249</v>
      </c>
      <c r="C26" s="5">
        <v>61442</v>
      </c>
      <c r="D26" s="3" t="s">
        <v>38</v>
      </c>
      <c r="E26">
        <f t="shared" si="0"/>
        <v>45.477456052391048</v>
      </c>
      <c r="F26">
        <f t="shared" si="1"/>
        <v>54.522543947608945</v>
      </c>
    </row>
    <row r="27" spans="1:6" x14ac:dyDescent="0.2">
      <c r="A27" s="3" t="s">
        <v>40</v>
      </c>
      <c r="B27" s="5">
        <v>98666</v>
      </c>
      <c r="C27" s="5">
        <v>117892</v>
      </c>
      <c r="D27" s="3" t="s">
        <v>40</v>
      </c>
      <c r="E27">
        <f t="shared" si="0"/>
        <v>45.561004442227947</v>
      </c>
      <c r="F27">
        <f t="shared" si="1"/>
        <v>54.438995557772053</v>
      </c>
    </row>
    <row r="28" spans="1:6" x14ac:dyDescent="0.2">
      <c r="A28" s="3" t="s">
        <v>28</v>
      </c>
      <c r="B28" s="5">
        <v>64798</v>
      </c>
      <c r="C28" s="5">
        <v>77191</v>
      </c>
      <c r="D28" s="3" t="s">
        <v>28</v>
      </c>
      <c r="E28">
        <f t="shared" si="0"/>
        <v>45.635929543837896</v>
      </c>
      <c r="F28">
        <f t="shared" si="1"/>
        <v>54.364070456162096</v>
      </c>
    </row>
    <row r="29" spans="1:6" x14ac:dyDescent="0.2">
      <c r="A29" s="3" t="s">
        <v>23</v>
      </c>
      <c r="B29" s="5">
        <v>38067</v>
      </c>
      <c r="C29" s="5">
        <v>43444</v>
      </c>
      <c r="D29" s="3" t="s">
        <v>23</v>
      </c>
      <c r="E29">
        <f t="shared" si="0"/>
        <v>46.701672166946793</v>
      </c>
      <c r="F29">
        <f t="shared" si="1"/>
        <v>53.298327833053207</v>
      </c>
    </row>
    <row r="30" spans="1:6" x14ac:dyDescent="0.2">
      <c r="A30" s="3" t="s">
        <v>33</v>
      </c>
      <c r="B30" s="5">
        <v>300422</v>
      </c>
      <c r="C30" s="5">
        <v>334383</v>
      </c>
      <c r="D30" s="3" t="s">
        <v>33</v>
      </c>
      <c r="E30">
        <f t="shared" si="0"/>
        <v>47.32508408093824</v>
      </c>
      <c r="F30">
        <f t="shared" si="1"/>
        <v>52.67491591906176</v>
      </c>
    </row>
    <row r="31" spans="1:6" x14ac:dyDescent="0.2">
      <c r="A31" s="3" t="s">
        <v>42</v>
      </c>
      <c r="B31" s="5">
        <v>152217</v>
      </c>
      <c r="C31" s="5">
        <v>167761</v>
      </c>
      <c r="D31" s="3" t="s">
        <v>42</v>
      </c>
      <c r="E31">
        <f t="shared" si="0"/>
        <v>47.571083011957072</v>
      </c>
      <c r="F31">
        <f t="shared" si="1"/>
        <v>52.428916988042921</v>
      </c>
    </row>
    <row r="32" spans="1:6" x14ac:dyDescent="0.2">
      <c r="A32" s="3" t="s">
        <v>26</v>
      </c>
      <c r="B32" s="5">
        <v>468783</v>
      </c>
      <c r="C32" s="5">
        <v>448728</v>
      </c>
      <c r="D32" s="3" t="s">
        <v>26</v>
      </c>
      <c r="E32">
        <f t="shared" si="0"/>
        <v>51.092902428417752</v>
      </c>
      <c r="F32">
        <f t="shared" si="1"/>
        <v>48.907097571582248</v>
      </c>
    </row>
    <row r="33" spans="1:14" x14ac:dyDescent="0.2">
      <c r="A33" s="3" t="s">
        <v>57</v>
      </c>
      <c r="B33" s="5">
        <v>711923</v>
      </c>
      <c r="C33" s="5">
        <v>641367</v>
      </c>
      <c r="D33" s="3" t="s">
        <v>57</v>
      </c>
      <c r="E33">
        <f t="shared" si="0"/>
        <v>52.606832238470695</v>
      </c>
      <c r="F33">
        <f t="shared" si="1"/>
        <v>47.393167761529313</v>
      </c>
    </row>
    <row r="34" spans="1:14" x14ac:dyDescent="0.2">
      <c r="A34" s="3" t="s">
        <v>27</v>
      </c>
      <c r="B34" s="5">
        <v>8821</v>
      </c>
      <c r="C34" s="5">
        <v>7153</v>
      </c>
      <c r="D34" s="3" t="s">
        <v>27</v>
      </c>
      <c r="E34">
        <f t="shared" si="0"/>
        <v>55.220984099161136</v>
      </c>
      <c r="F34">
        <f t="shared" si="1"/>
        <v>44.779015900838857</v>
      </c>
    </row>
    <row r="35" spans="1:14" x14ac:dyDescent="0.2">
      <c r="A35" s="3" t="s">
        <v>52</v>
      </c>
      <c r="B35" s="5">
        <v>36924</v>
      </c>
      <c r="C35" s="5">
        <v>29499</v>
      </c>
      <c r="D35" s="3" t="s">
        <v>52</v>
      </c>
      <c r="E35">
        <f t="shared" si="0"/>
        <v>55.589178447224604</v>
      </c>
      <c r="F35">
        <f t="shared" si="1"/>
        <v>44.410821552775396</v>
      </c>
    </row>
    <row r="36" spans="1:14" x14ac:dyDescent="0.2">
      <c r="A36" s="3" t="s">
        <v>35</v>
      </c>
      <c r="B36" s="5">
        <v>12507</v>
      </c>
      <c r="C36" s="5">
        <v>8605</v>
      </c>
      <c r="D36" s="3" t="s">
        <v>35</v>
      </c>
      <c r="E36">
        <f t="shared" si="0"/>
        <v>59.241189844638122</v>
      </c>
      <c r="F36">
        <f t="shared" si="1"/>
        <v>40.758810155361878</v>
      </c>
    </row>
    <row r="37" spans="1:14" x14ac:dyDescent="0.2">
      <c r="A37" s="3" t="s">
        <v>43</v>
      </c>
      <c r="B37" s="5">
        <v>66254</v>
      </c>
      <c r="C37" s="5">
        <v>38616</v>
      </c>
      <c r="D37" s="3" t="s">
        <v>43</v>
      </c>
      <c r="E37">
        <f t="shared" si="0"/>
        <v>63.177267092590824</v>
      </c>
      <c r="F37">
        <f t="shared" si="1"/>
        <v>36.822732907409168</v>
      </c>
    </row>
    <row r="38" spans="1:14" x14ac:dyDescent="0.2">
      <c r="A38" s="3" t="s">
        <v>30</v>
      </c>
      <c r="B38" s="5">
        <v>385540</v>
      </c>
      <c r="C38" s="5">
        <v>222025</v>
      </c>
      <c r="D38" s="3" t="s">
        <v>30</v>
      </c>
      <c r="E38">
        <f t="shared" si="0"/>
        <v>63.456584892151461</v>
      </c>
      <c r="F38">
        <f t="shared" si="1"/>
        <v>36.543415107848546</v>
      </c>
    </row>
    <row r="39" spans="1:14" x14ac:dyDescent="0.2">
      <c r="A39" s="3" t="s">
        <v>31</v>
      </c>
      <c r="B39" s="5">
        <v>545584</v>
      </c>
      <c r="C39" s="5">
        <v>307849</v>
      </c>
      <c r="D39" s="3" t="s">
        <v>31</v>
      </c>
      <c r="E39">
        <f t="shared" si="0"/>
        <v>63.928158390875438</v>
      </c>
      <c r="F39">
        <f t="shared" si="1"/>
        <v>36.071841609124562</v>
      </c>
    </row>
    <row r="40" spans="1:14" x14ac:dyDescent="0.2">
      <c r="A40" s="3" t="s">
        <v>22</v>
      </c>
      <c r="B40" s="5">
        <v>68708</v>
      </c>
      <c r="C40" s="5">
        <v>35811</v>
      </c>
      <c r="D40" s="3" t="s">
        <v>22</v>
      </c>
      <c r="E40">
        <f t="shared" si="0"/>
        <v>65.737330054822564</v>
      </c>
      <c r="F40">
        <f t="shared" si="1"/>
        <v>34.262669945177429</v>
      </c>
    </row>
    <row r="41" spans="1:14" x14ac:dyDescent="0.2">
      <c r="A41" s="3" t="s">
        <v>39</v>
      </c>
      <c r="B41" s="5">
        <v>6784</v>
      </c>
      <c r="C41" s="5">
        <v>3414</v>
      </c>
      <c r="D41" s="3" t="s">
        <v>39</v>
      </c>
      <c r="E41">
        <f t="shared" si="0"/>
        <v>66.522847617179835</v>
      </c>
      <c r="F41">
        <f t="shared" si="1"/>
        <v>33.477152382820158</v>
      </c>
    </row>
    <row r="42" spans="1:14" x14ac:dyDescent="0.2">
      <c r="A42" s="3" t="s">
        <v>25</v>
      </c>
      <c r="B42" s="5">
        <v>62376</v>
      </c>
      <c r="C42" s="5">
        <v>28869</v>
      </c>
      <c r="D42" s="3" t="s">
        <v>25</v>
      </c>
      <c r="E42">
        <f t="shared" si="0"/>
        <v>68.361006082525066</v>
      </c>
      <c r="F42">
        <f t="shared" si="1"/>
        <v>31.638993917474927</v>
      </c>
    </row>
    <row r="43" spans="1:14" x14ac:dyDescent="0.2">
      <c r="A43" s="3" t="s">
        <v>48</v>
      </c>
      <c r="B43" s="5">
        <v>92092</v>
      </c>
      <c r="C43" s="5">
        <v>39824</v>
      </c>
      <c r="D43" s="3" t="s">
        <v>48</v>
      </c>
      <c r="E43">
        <f t="shared" si="0"/>
        <v>69.8110919069711</v>
      </c>
      <c r="F43">
        <f t="shared" si="1"/>
        <v>30.188908093028896</v>
      </c>
    </row>
    <row r="44" spans="1:14" x14ac:dyDescent="0.2">
      <c r="A44" s="3" t="s">
        <v>50</v>
      </c>
      <c r="B44" s="5">
        <v>4270</v>
      </c>
      <c r="C44" s="5">
        <v>1833</v>
      </c>
      <c r="D44" s="3" t="s">
        <v>50</v>
      </c>
      <c r="E44">
        <f t="shared" si="0"/>
        <v>69.965590693101746</v>
      </c>
      <c r="F44">
        <f t="shared" si="1"/>
        <v>30.034409306898247</v>
      </c>
    </row>
    <row r="45" spans="1:14" x14ac:dyDescent="0.2">
      <c r="A45" s="3" t="s">
        <v>29</v>
      </c>
      <c r="B45" s="5">
        <v>99041</v>
      </c>
      <c r="C45" s="5">
        <v>42353</v>
      </c>
      <c r="D45" s="3" t="s">
        <v>29</v>
      </c>
      <c r="E45">
        <f t="shared" si="0"/>
        <v>70.046112281992166</v>
      </c>
      <c r="F45">
        <f t="shared" si="1"/>
        <v>29.953887718007834</v>
      </c>
    </row>
    <row r="46" spans="1:14" x14ac:dyDescent="0.2">
      <c r="A46" s="3" t="s">
        <v>36</v>
      </c>
      <c r="B46" s="5">
        <v>23911</v>
      </c>
      <c r="C46" s="5">
        <v>6175</v>
      </c>
      <c r="D46" s="3" t="s">
        <v>36</v>
      </c>
      <c r="E46">
        <f t="shared" si="0"/>
        <v>79.475503556471452</v>
      </c>
      <c r="F46">
        <f t="shared" si="1"/>
        <v>20.524496443528552</v>
      </c>
    </row>
    <row r="47" spans="1:14" x14ac:dyDescent="0.2">
      <c r="A47" s="3" t="s">
        <v>34</v>
      </c>
      <c r="B47" s="5">
        <v>7355</v>
      </c>
      <c r="C47" s="5">
        <v>1572</v>
      </c>
      <c r="D47" s="3" t="s">
        <v>34</v>
      </c>
      <c r="E47">
        <f t="shared" si="0"/>
        <v>82.39050072812816</v>
      </c>
      <c r="F47">
        <f t="shared" si="1"/>
        <v>17.609499271871851</v>
      </c>
      <c r="H47" s="1"/>
      <c r="K47" s="1"/>
      <c r="N47" s="1"/>
    </row>
    <row r="49" spans="1:14" x14ac:dyDescent="0.2">
      <c r="A49" s="1"/>
    </row>
    <row r="50" spans="1:14" x14ac:dyDescent="0.2">
      <c r="A50" s="1"/>
      <c r="B50" s="1"/>
    </row>
    <row r="52" spans="1:14" x14ac:dyDescent="0.2">
      <c r="A52" s="10">
        <v>2017</v>
      </c>
      <c r="B52" s="10"/>
      <c r="C52" s="10"/>
    </row>
    <row r="53" spans="1:14" x14ac:dyDescent="0.2">
      <c r="A53" s="3" t="s">
        <v>12</v>
      </c>
      <c r="B53" s="6" t="s">
        <v>77</v>
      </c>
      <c r="C53" s="6" t="s">
        <v>76</v>
      </c>
      <c r="D53" s="3" t="s">
        <v>12</v>
      </c>
      <c r="E53" s="6" t="s">
        <v>77</v>
      </c>
      <c r="F53" s="6" t="s">
        <v>76</v>
      </c>
    </row>
    <row r="54" spans="1:14" x14ac:dyDescent="0.2">
      <c r="A54" s="3" t="s">
        <v>45</v>
      </c>
      <c r="B54" s="5">
        <v>6794</v>
      </c>
      <c r="C54" s="5">
        <v>21378</v>
      </c>
      <c r="D54" s="3" t="s">
        <v>45</v>
      </c>
      <c r="E54">
        <f t="shared" ref="E54:E84" si="2">B54/((B54+C54)/100)</f>
        <v>24.11614368876899</v>
      </c>
      <c r="F54">
        <f t="shared" ref="F54:F84" si="3">C54/((B54+C54)/100)</f>
        <v>75.883856311231</v>
      </c>
    </row>
    <row r="55" spans="1:14" x14ac:dyDescent="0.2">
      <c r="A55" s="3" t="s">
        <v>56</v>
      </c>
      <c r="B55" s="5">
        <v>64395</v>
      </c>
      <c r="C55" s="5">
        <v>185384</v>
      </c>
      <c r="D55" s="3" t="s">
        <v>56</v>
      </c>
      <c r="E55">
        <f t="shared" si="2"/>
        <v>25.7807902185532</v>
      </c>
      <c r="F55">
        <f t="shared" si="3"/>
        <v>74.219209781446807</v>
      </c>
    </row>
    <row r="56" spans="1:14" x14ac:dyDescent="0.2">
      <c r="A56" s="3" t="s">
        <v>32</v>
      </c>
      <c r="B56" s="5">
        <v>12242</v>
      </c>
      <c r="C56" s="5">
        <v>29787</v>
      </c>
      <c r="D56" s="3" t="s">
        <v>32</v>
      </c>
      <c r="E56">
        <f t="shared" si="2"/>
        <v>29.127507197411308</v>
      </c>
      <c r="F56">
        <f t="shared" si="3"/>
        <v>70.872492802588681</v>
      </c>
    </row>
    <row r="57" spans="1:14" x14ac:dyDescent="0.2">
      <c r="A57" s="3" t="s">
        <v>24</v>
      </c>
      <c r="B57" s="5">
        <v>25955</v>
      </c>
      <c r="C57" s="5">
        <v>62839</v>
      </c>
      <c r="D57" s="3" t="s">
        <v>24</v>
      </c>
      <c r="E57">
        <f t="shared" si="2"/>
        <v>29.230578642701083</v>
      </c>
      <c r="F57">
        <f t="shared" si="3"/>
        <v>70.76942135729891</v>
      </c>
    </row>
    <row r="58" spans="1:14" x14ac:dyDescent="0.2">
      <c r="A58" s="3" t="s">
        <v>46</v>
      </c>
      <c r="B58" s="5">
        <v>14595</v>
      </c>
      <c r="C58" s="5">
        <v>34643</v>
      </c>
      <c r="D58" s="3" t="s">
        <v>46</v>
      </c>
      <c r="E58">
        <f t="shared" si="2"/>
        <v>29.641740119419961</v>
      </c>
      <c r="F58">
        <f t="shared" si="3"/>
        <v>70.358259880580036</v>
      </c>
      <c r="H58" s="1"/>
      <c r="K58" s="1"/>
      <c r="N58" s="1"/>
    </row>
    <row r="59" spans="1:14" x14ac:dyDescent="0.2">
      <c r="A59" s="3" t="s">
        <v>49</v>
      </c>
      <c r="B59" s="5">
        <v>686916</v>
      </c>
      <c r="C59" s="5">
        <v>1287174</v>
      </c>
      <c r="D59" s="3" t="s">
        <v>49</v>
      </c>
      <c r="E59">
        <f t="shared" si="2"/>
        <v>34.79658982113277</v>
      </c>
      <c r="F59">
        <f t="shared" si="3"/>
        <v>65.203410178867216</v>
      </c>
    </row>
    <row r="60" spans="1:14" x14ac:dyDescent="0.2">
      <c r="A60" s="3" t="s">
        <v>41</v>
      </c>
      <c r="B60" s="5">
        <v>40422</v>
      </c>
      <c r="C60" s="5">
        <v>66646</v>
      </c>
      <c r="D60" s="3" t="s">
        <v>41</v>
      </c>
      <c r="E60">
        <f t="shared" si="2"/>
        <v>37.753577165913249</v>
      </c>
      <c r="F60">
        <f t="shared" si="3"/>
        <v>62.246422834086744</v>
      </c>
    </row>
    <row r="61" spans="1:14" x14ac:dyDescent="0.2">
      <c r="A61" s="3" t="s">
        <v>47</v>
      </c>
      <c r="B61" s="5">
        <v>33403</v>
      </c>
      <c r="C61" s="5">
        <v>52534</v>
      </c>
      <c r="D61" s="3" t="s">
        <v>47</v>
      </c>
      <c r="E61">
        <f t="shared" si="2"/>
        <v>38.869171602452958</v>
      </c>
      <c r="F61">
        <f t="shared" si="3"/>
        <v>61.130828397547042</v>
      </c>
    </row>
    <row r="62" spans="1:14" x14ac:dyDescent="0.2">
      <c r="A62" s="3" t="s">
        <v>37</v>
      </c>
      <c r="B62" s="5">
        <v>2636</v>
      </c>
      <c r="C62" s="5">
        <v>3993</v>
      </c>
      <c r="D62" s="3" t="s">
        <v>37</v>
      </c>
      <c r="E62">
        <f t="shared" si="2"/>
        <v>39.764670387690444</v>
      </c>
      <c r="F62">
        <f t="shared" si="3"/>
        <v>60.235329612309542</v>
      </c>
    </row>
    <row r="63" spans="1:14" x14ac:dyDescent="0.2">
      <c r="A63" s="3" t="s">
        <v>44</v>
      </c>
      <c r="B63" s="5">
        <v>76851</v>
      </c>
      <c r="C63" s="5">
        <v>105847</v>
      </c>
      <c r="D63" s="3" t="s">
        <v>44</v>
      </c>
      <c r="E63">
        <f t="shared" si="2"/>
        <v>42.064499885056215</v>
      </c>
      <c r="F63">
        <f t="shared" si="3"/>
        <v>57.935500114943785</v>
      </c>
    </row>
    <row r="64" spans="1:14" x14ac:dyDescent="0.2">
      <c r="A64" s="3" t="s">
        <v>53</v>
      </c>
      <c r="B64" s="5">
        <v>50781</v>
      </c>
      <c r="C64" s="5">
        <v>63480</v>
      </c>
      <c r="D64" s="3" t="s">
        <v>53</v>
      </c>
      <c r="E64">
        <f t="shared" si="2"/>
        <v>44.442985795678318</v>
      </c>
      <c r="F64">
        <f t="shared" si="3"/>
        <v>55.557014204321689</v>
      </c>
    </row>
    <row r="65" spans="1:14" x14ac:dyDescent="0.2">
      <c r="A65" s="3" t="s">
        <v>40</v>
      </c>
      <c r="B65" s="5">
        <v>98944</v>
      </c>
      <c r="C65" s="5">
        <v>117579</v>
      </c>
      <c r="D65" s="3" t="s">
        <v>40</v>
      </c>
      <c r="E65">
        <f t="shared" si="2"/>
        <v>45.696762006807589</v>
      </c>
      <c r="F65">
        <f t="shared" si="3"/>
        <v>54.303237993192411</v>
      </c>
    </row>
    <row r="66" spans="1:14" x14ac:dyDescent="0.2">
      <c r="A66" s="3" t="s">
        <v>42</v>
      </c>
      <c r="B66" s="5">
        <v>153473</v>
      </c>
      <c r="C66" s="5">
        <v>177793</v>
      </c>
      <c r="D66" s="3" t="s">
        <v>42</v>
      </c>
      <c r="E66">
        <f t="shared" si="2"/>
        <v>46.329233908701774</v>
      </c>
      <c r="F66">
        <f t="shared" si="3"/>
        <v>53.670766091298233</v>
      </c>
    </row>
    <row r="67" spans="1:14" x14ac:dyDescent="0.2">
      <c r="A67" s="3" t="s">
        <v>33</v>
      </c>
      <c r="B67" s="5">
        <v>288439</v>
      </c>
      <c r="C67" s="5">
        <v>323218</v>
      </c>
      <c r="D67" s="3" t="s">
        <v>33</v>
      </c>
      <c r="E67">
        <f t="shared" si="2"/>
        <v>47.156985042270428</v>
      </c>
      <c r="F67">
        <f t="shared" si="3"/>
        <v>52.843014957729579</v>
      </c>
    </row>
    <row r="68" spans="1:14" x14ac:dyDescent="0.2">
      <c r="A68" s="3" t="s">
        <v>23</v>
      </c>
      <c r="B68" s="5">
        <v>29768</v>
      </c>
      <c r="C68" s="5">
        <v>30753</v>
      </c>
      <c r="D68" s="3" t="s">
        <v>23</v>
      </c>
      <c r="E68">
        <f t="shared" si="2"/>
        <v>49.186232877844049</v>
      </c>
      <c r="F68">
        <f t="shared" si="3"/>
        <v>50.813767122155944</v>
      </c>
    </row>
    <row r="69" spans="1:14" x14ac:dyDescent="0.2">
      <c r="A69" s="3" t="s">
        <v>26</v>
      </c>
      <c r="B69" s="5">
        <v>550129</v>
      </c>
      <c r="C69" s="5">
        <v>450535</v>
      </c>
      <c r="D69" s="3" t="s">
        <v>26</v>
      </c>
      <c r="E69">
        <f t="shared" si="2"/>
        <v>54.976395673272947</v>
      </c>
      <c r="F69">
        <f t="shared" si="3"/>
        <v>45.023604326727053</v>
      </c>
      <c r="H69" s="1"/>
      <c r="K69" s="1"/>
      <c r="N69" s="1"/>
    </row>
    <row r="70" spans="1:14" x14ac:dyDescent="0.2">
      <c r="A70" s="3" t="s">
        <v>27</v>
      </c>
      <c r="B70" s="5">
        <v>8675</v>
      </c>
      <c r="C70" s="5">
        <v>7057</v>
      </c>
      <c r="D70" s="3" t="s">
        <v>27</v>
      </c>
      <c r="E70">
        <f t="shared" si="2"/>
        <v>55.142384947876941</v>
      </c>
      <c r="F70">
        <f t="shared" si="3"/>
        <v>44.857615052123066</v>
      </c>
    </row>
    <row r="71" spans="1:14" x14ac:dyDescent="0.2">
      <c r="A71" s="3" t="s">
        <v>57</v>
      </c>
      <c r="B71" s="5">
        <v>768031</v>
      </c>
      <c r="C71" s="5">
        <v>622282</v>
      </c>
      <c r="D71" s="3" t="s">
        <v>57</v>
      </c>
      <c r="E71">
        <f t="shared" si="2"/>
        <v>55.241589483806884</v>
      </c>
      <c r="F71">
        <f t="shared" si="3"/>
        <v>44.758410516193116</v>
      </c>
    </row>
    <row r="72" spans="1:14" x14ac:dyDescent="0.2">
      <c r="A72" s="3" t="s">
        <v>52</v>
      </c>
      <c r="B72" s="5">
        <v>38240</v>
      </c>
      <c r="C72" s="5">
        <v>29316</v>
      </c>
      <c r="D72" s="3" t="s">
        <v>52</v>
      </c>
      <c r="E72">
        <f t="shared" si="2"/>
        <v>56.604890757297653</v>
      </c>
      <c r="F72">
        <f t="shared" si="3"/>
        <v>43.395109242702354</v>
      </c>
    </row>
    <row r="73" spans="1:14" x14ac:dyDescent="0.2">
      <c r="A73" s="3" t="s">
        <v>35</v>
      </c>
      <c r="B73" s="5">
        <v>13188</v>
      </c>
      <c r="C73" s="5">
        <v>8923</v>
      </c>
      <c r="D73" s="3" t="s">
        <v>35</v>
      </c>
      <c r="E73">
        <f t="shared" si="2"/>
        <v>59.644520826737818</v>
      </c>
      <c r="F73">
        <f t="shared" si="3"/>
        <v>40.355479173262175</v>
      </c>
    </row>
    <row r="74" spans="1:14" x14ac:dyDescent="0.2">
      <c r="A74" s="3" t="s">
        <v>43</v>
      </c>
      <c r="B74" s="5">
        <v>66132</v>
      </c>
      <c r="C74" s="5">
        <v>40015</v>
      </c>
      <c r="D74" s="3" t="s">
        <v>43</v>
      </c>
      <c r="E74">
        <f t="shared" si="2"/>
        <v>62.302278915089452</v>
      </c>
      <c r="F74">
        <f t="shared" si="3"/>
        <v>37.697721084910548</v>
      </c>
    </row>
    <row r="75" spans="1:14" x14ac:dyDescent="0.2">
      <c r="A75" s="3" t="s">
        <v>31</v>
      </c>
      <c r="B75" s="5">
        <v>546021</v>
      </c>
      <c r="C75" s="5">
        <v>314538</v>
      </c>
      <c r="D75" s="3" t="s">
        <v>31</v>
      </c>
      <c r="E75">
        <f t="shared" si="2"/>
        <v>63.449571731862662</v>
      </c>
      <c r="F75">
        <f t="shared" si="3"/>
        <v>36.550428268137338</v>
      </c>
    </row>
    <row r="76" spans="1:14" x14ac:dyDescent="0.2">
      <c r="A76" s="3" t="s">
        <v>30</v>
      </c>
      <c r="B76" s="5">
        <v>381230</v>
      </c>
      <c r="C76" s="5">
        <v>216731</v>
      </c>
      <c r="D76" s="3" t="s">
        <v>30</v>
      </c>
      <c r="E76">
        <f t="shared" si="2"/>
        <v>63.754994054796221</v>
      </c>
      <c r="F76">
        <f t="shared" si="3"/>
        <v>36.245005945203786</v>
      </c>
    </row>
    <row r="77" spans="1:14" x14ac:dyDescent="0.2">
      <c r="A77" s="3" t="s">
        <v>39</v>
      </c>
      <c r="B77" s="5">
        <v>6527</v>
      </c>
      <c r="C77" s="5">
        <v>3325</v>
      </c>
      <c r="D77" s="3" t="s">
        <v>39</v>
      </c>
      <c r="E77">
        <f t="shared" si="2"/>
        <v>66.250507511165253</v>
      </c>
      <c r="F77">
        <f t="shared" si="3"/>
        <v>33.749492488834754</v>
      </c>
    </row>
    <row r="78" spans="1:14" x14ac:dyDescent="0.2">
      <c r="A78" s="3" t="s">
        <v>25</v>
      </c>
      <c r="B78" s="5">
        <v>65157</v>
      </c>
      <c r="C78" s="5">
        <v>28530</v>
      </c>
      <c r="D78" s="3" t="s">
        <v>25</v>
      </c>
      <c r="E78">
        <f t="shared" si="2"/>
        <v>69.547535944154475</v>
      </c>
      <c r="F78">
        <f t="shared" si="3"/>
        <v>30.452464055845528</v>
      </c>
    </row>
    <row r="79" spans="1:14" x14ac:dyDescent="0.2">
      <c r="A79" s="3" t="s">
        <v>50</v>
      </c>
      <c r="B79" s="5">
        <v>4437</v>
      </c>
      <c r="C79" s="5">
        <v>1848</v>
      </c>
      <c r="D79" s="3" t="s">
        <v>50</v>
      </c>
      <c r="E79">
        <f t="shared" si="2"/>
        <v>70.596658711217188</v>
      </c>
      <c r="F79">
        <f t="shared" si="3"/>
        <v>29.403341288782816</v>
      </c>
    </row>
    <row r="80" spans="1:14" x14ac:dyDescent="0.2">
      <c r="A80" s="3" t="s">
        <v>29</v>
      </c>
      <c r="B80" s="5">
        <v>103719</v>
      </c>
      <c r="C80" s="5">
        <v>41721</v>
      </c>
      <c r="D80" s="3" t="s">
        <v>29</v>
      </c>
      <c r="E80">
        <f t="shared" si="2"/>
        <v>71.313943894389439</v>
      </c>
      <c r="F80">
        <f t="shared" si="3"/>
        <v>28.686056105610561</v>
      </c>
      <c r="H80" s="1"/>
      <c r="K80" s="1"/>
      <c r="N80" s="1"/>
    </row>
    <row r="81" spans="1:6" x14ac:dyDescent="0.2">
      <c r="A81" s="3" t="s">
        <v>48</v>
      </c>
      <c r="B81" s="5">
        <v>95446</v>
      </c>
      <c r="C81" s="5">
        <v>37877</v>
      </c>
      <c r="D81" s="3" t="s">
        <v>48</v>
      </c>
      <c r="E81">
        <f t="shared" si="2"/>
        <v>71.590048228737729</v>
      </c>
      <c r="F81">
        <f t="shared" si="3"/>
        <v>28.409951771262271</v>
      </c>
    </row>
    <row r="82" spans="1:6" x14ac:dyDescent="0.2">
      <c r="A82" s="3" t="s">
        <v>38</v>
      </c>
      <c r="B82" s="5">
        <v>90933</v>
      </c>
      <c r="C82" s="5">
        <v>29865</v>
      </c>
      <c r="D82" s="3" t="s">
        <v>38</v>
      </c>
      <c r="E82">
        <f t="shared" si="2"/>
        <v>75.276908558088707</v>
      </c>
      <c r="F82">
        <f t="shared" si="3"/>
        <v>24.72309144191129</v>
      </c>
    </row>
    <row r="83" spans="1:6" x14ac:dyDescent="0.2">
      <c r="A83" s="3" t="s">
        <v>36</v>
      </c>
      <c r="B83" s="5">
        <v>26009</v>
      </c>
      <c r="C83" s="5">
        <v>7331</v>
      </c>
      <c r="D83" s="3" t="s">
        <v>36</v>
      </c>
      <c r="E83">
        <f t="shared" si="2"/>
        <v>78.011397720455918</v>
      </c>
      <c r="F83">
        <f t="shared" si="3"/>
        <v>21.988602279544093</v>
      </c>
    </row>
    <row r="84" spans="1:6" x14ac:dyDescent="0.2">
      <c r="A84" s="3" t="s">
        <v>34</v>
      </c>
      <c r="B84" s="5">
        <v>7602</v>
      </c>
      <c r="C84" s="5">
        <v>1661</v>
      </c>
      <c r="D84" s="3" t="s">
        <v>34</v>
      </c>
      <c r="E84">
        <f t="shared" si="2"/>
        <v>82.068444348483212</v>
      </c>
      <c r="F84">
        <f t="shared" si="3"/>
        <v>17.931555651516788</v>
      </c>
    </row>
    <row r="108" spans="1:6" x14ac:dyDescent="0.2">
      <c r="A108" s="10">
        <v>2016</v>
      </c>
      <c r="B108" s="10"/>
      <c r="C108" s="10"/>
      <c r="D108" s="9"/>
    </row>
    <row r="109" spans="1:6" x14ac:dyDescent="0.2">
      <c r="A109" s="3" t="s">
        <v>12</v>
      </c>
      <c r="B109" s="6" t="s">
        <v>77</v>
      </c>
      <c r="C109" s="6" t="s">
        <v>76</v>
      </c>
      <c r="D109" s="3" t="s">
        <v>12</v>
      </c>
      <c r="E109" s="6" t="s">
        <v>77</v>
      </c>
      <c r="F109" s="6" t="s">
        <v>76</v>
      </c>
    </row>
    <row r="110" spans="1:6" x14ac:dyDescent="0.2">
      <c r="A110" s="3" t="s">
        <v>45</v>
      </c>
      <c r="B110" s="5">
        <v>6783</v>
      </c>
      <c r="C110" s="5">
        <v>23616</v>
      </c>
      <c r="D110" s="3" t="s">
        <v>45</v>
      </c>
      <c r="E110">
        <f t="shared" ref="E110:E142" si="4">B110/((B110+C110)/100)</f>
        <v>22.313233987960128</v>
      </c>
      <c r="F110">
        <f t="shared" ref="F110:F142" si="5">C110/((B110+C110)/100)</f>
        <v>77.686766012039868</v>
      </c>
    </row>
    <row r="111" spans="1:6" x14ac:dyDescent="0.2">
      <c r="A111" s="3" t="s">
        <v>56</v>
      </c>
      <c r="B111" s="5">
        <v>64766</v>
      </c>
      <c r="C111" s="5">
        <v>188410</v>
      </c>
      <c r="D111" s="3" t="s">
        <v>56</v>
      </c>
      <c r="E111">
        <f t="shared" si="4"/>
        <v>25.581413720099849</v>
      </c>
      <c r="F111">
        <f t="shared" si="5"/>
        <v>74.41858627990014</v>
      </c>
    </row>
    <row r="112" spans="1:6" x14ac:dyDescent="0.2">
      <c r="A112" s="3" t="s">
        <v>32</v>
      </c>
      <c r="B112" s="5">
        <v>12627</v>
      </c>
      <c r="C112" s="5">
        <v>32040</v>
      </c>
      <c r="D112" s="3" t="s">
        <v>32</v>
      </c>
      <c r="E112">
        <f t="shared" si="4"/>
        <v>28.269192020955067</v>
      </c>
      <c r="F112">
        <f t="shared" si="5"/>
        <v>71.730807979044926</v>
      </c>
    </row>
    <row r="113" spans="1:6" x14ac:dyDescent="0.2">
      <c r="A113" s="3" t="s">
        <v>24</v>
      </c>
      <c r="B113" s="5">
        <v>25981</v>
      </c>
      <c r="C113" s="5">
        <v>62722</v>
      </c>
      <c r="D113" s="3" t="s">
        <v>24</v>
      </c>
      <c r="E113">
        <f t="shared" si="4"/>
        <v>29.289877456230343</v>
      </c>
      <c r="F113">
        <f t="shared" si="5"/>
        <v>70.710122543769657</v>
      </c>
    </row>
    <row r="114" spans="1:6" x14ac:dyDescent="0.2">
      <c r="A114" s="3" t="s">
        <v>46</v>
      </c>
      <c r="B114" s="5">
        <v>15169</v>
      </c>
      <c r="C114" s="5">
        <v>36443</v>
      </c>
      <c r="D114" s="3" t="s">
        <v>46</v>
      </c>
      <c r="E114">
        <f t="shared" si="4"/>
        <v>29.390451832907075</v>
      </c>
      <c r="F114">
        <f t="shared" si="5"/>
        <v>70.609548167092925</v>
      </c>
    </row>
    <row r="115" spans="1:6" x14ac:dyDescent="0.2">
      <c r="A115" s="3" t="s">
        <v>51</v>
      </c>
      <c r="B115" s="5">
        <v>185</v>
      </c>
      <c r="C115" s="5">
        <v>323</v>
      </c>
      <c r="D115" s="3" t="s">
        <v>51</v>
      </c>
      <c r="E115">
        <f t="shared" si="4"/>
        <v>36.417322834645667</v>
      </c>
      <c r="F115">
        <f t="shared" si="5"/>
        <v>63.582677165354333</v>
      </c>
    </row>
    <row r="116" spans="1:6" x14ac:dyDescent="0.2">
      <c r="A116" s="3" t="s">
        <v>49</v>
      </c>
      <c r="B116" s="5">
        <v>694323</v>
      </c>
      <c r="C116" s="5">
        <v>1194576</v>
      </c>
      <c r="D116" s="3" t="s">
        <v>49</v>
      </c>
      <c r="E116">
        <f t="shared" si="4"/>
        <v>36.758079706749804</v>
      </c>
      <c r="F116">
        <f t="shared" si="5"/>
        <v>63.241920293250189</v>
      </c>
    </row>
    <row r="117" spans="1:6" x14ac:dyDescent="0.2">
      <c r="A117" s="3" t="s">
        <v>41</v>
      </c>
      <c r="B117" s="5">
        <v>40729</v>
      </c>
      <c r="C117" s="5">
        <v>66328</v>
      </c>
      <c r="D117" s="3" t="s">
        <v>41</v>
      </c>
      <c r="E117">
        <f t="shared" si="4"/>
        <v>38.044219434506857</v>
      </c>
      <c r="F117">
        <f t="shared" si="5"/>
        <v>61.95578056549315</v>
      </c>
    </row>
    <row r="118" spans="1:6" x14ac:dyDescent="0.2">
      <c r="A118" s="3" t="s">
        <v>37</v>
      </c>
      <c r="B118" s="5">
        <v>2478</v>
      </c>
      <c r="C118" s="5">
        <v>3977</v>
      </c>
      <c r="D118" s="3" t="s">
        <v>37</v>
      </c>
      <c r="E118">
        <f t="shared" si="4"/>
        <v>38.388845855925638</v>
      </c>
      <c r="F118">
        <f t="shared" si="5"/>
        <v>61.611154144074362</v>
      </c>
    </row>
    <row r="119" spans="1:6" x14ac:dyDescent="0.2">
      <c r="A119" s="3" t="s">
        <v>47</v>
      </c>
      <c r="B119" s="5">
        <v>33055</v>
      </c>
      <c r="C119" s="5">
        <v>49271</v>
      </c>
      <c r="D119" s="3" t="s">
        <v>47</v>
      </c>
      <c r="E119">
        <f t="shared" si="4"/>
        <v>40.151349512912084</v>
      </c>
      <c r="F119">
        <f t="shared" si="5"/>
        <v>59.848650487087916</v>
      </c>
    </row>
    <row r="120" spans="1:6" x14ac:dyDescent="0.2">
      <c r="A120" s="3" t="s">
        <v>44</v>
      </c>
      <c r="B120" s="5">
        <v>78745</v>
      </c>
      <c r="C120" s="5">
        <v>111707</v>
      </c>
      <c r="D120" s="3" t="s">
        <v>44</v>
      </c>
      <c r="E120">
        <f t="shared" si="4"/>
        <v>41.346375989750697</v>
      </c>
      <c r="F120">
        <f t="shared" si="5"/>
        <v>58.653624010249303</v>
      </c>
    </row>
    <row r="121" spans="1:6" x14ac:dyDescent="0.2">
      <c r="A121" s="3" t="s">
        <v>53</v>
      </c>
      <c r="B121" s="5">
        <v>49664</v>
      </c>
      <c r="C121" s="5">
        <v>63889</v>
      </c>
      <c r="D121" s="3" t="s">
        <v>53</v>
      </c>
      <c r="E121">
        <f t="shared" si="4"/>
        <v>43.73640502672761</v>
      </c>
      <c r="F121">
        <f t="shared" si="5"/>
        <v>56.263594973272397</v>
      </c>
    </row>
    <row r="122" spans="1:6" x14ac:dyDescent="0.2">
      <c r="A122" s="3" t="s">
        <v>40</v>
      </c>
      <c r="B122" s="5">
        <v>97338</v>
      </c>
      <c r="C122" s="5">
        <v>114158</v>
      </c>
      <c r="D122" s="3" t="s">
        <v>40</v>
      </c>
      <c r="E122">
        <f t="shared" si="4"/>
        <v>46.023565457502741</v>
      </c>
      <c r="F122">
        <f t="shared" si="5"/>
        <v>53.976434542497259</v>
      </c>
    </row>
    <row r="123" spans="1:6" x14ac:dyDescent="0.2">
      <c r="A123" s="3" t="s">
        <v>33</v>
      </c>
      <c r="B123" s="5">
        <v>287302</v>
      </c>
      <c r="C123" s="5">
        <v>336484</v>
      </c>
      <c r="D123" s="3" t="s">
        <v>33</v>
      </c>
      <c r="E123">
        <f t="shared" si="4"/>
        <v>46.057782636994098</v>
      </c>
      <c r="F123">
        <f t="shared" si="5"/>
        <v>53.942217363005902</v>
      </c>
    </row>
    <row r="124" spans="1:6" x14ac:dyDescent="0.2">
      <c r="A124" s="3" t="s">
        <v>42</v>
      </c>
      <c r="B124" s="5">
        <v>159086</v>
      </c>
      <c r="C124" s="5">
        <v>179104</v>
      </c>
      <c r="D124" s="3" t="s">
        <v>42</v>
      </c>
      <c r="E124">
        <f t="shared" si="4"/>
        <v>47.040421065081759</v>
      </c>
      <c r="F124">
        <f t="shared" si="5"/>
        <v>52.959578934918241</v>
      </c>
    </row>
    <row r="125" spans="1:6" x14ac:dyDescent="0.2">
      <c r="A125" s="3" t="s">
        <v>23</v>
      </c>
      <c r="B125" s="5">
        <v>30270</v>
      </c>
      <c r="C125" s="5">
        <v>32909</v>
      </c>
      <c r="D125" s="3" t="s">
        <v>23</v>
      </c>
      <c r="E125">
        <f t="shared" si="4"/>
        <v>47.911489577232942</v>
      </c>
      <c r="F125">
        <f t="shared" si="5"/>
        <v>52.088510422767065</v>
      </c>
    </row>
    <row r="126" spans="1:6" x14ac:dyDescent="0.2">
      <c r="A126" s="3" t="s">
        <v>52</v>
      </c>
      <c r="B126" s="5">
        <v>35528</v>
      </c>
      <c r="C126" s="5">
        <v>31725</v>
      </c>
      <c r="D126" s="3" t="s">
        <v>52</v>
      </c>
      <c r="E126">
        <f t="shared" si="4"/>
        <v>52.827383165063267</v>
      </c>
      <c r="F126">
        <f t="shared" si="5"/>
        <v>47.172616834936733</v>
      </c>
    </row>
    <row r="127" spans="1:6" x14ac:dyDescent="0.2">
      <c r="A127" s="3" t="s">
        <v>26</v>
      </c>
      <c r="B127" s="5">
        <v>519975</v>
      </c>
      <c r="C127" s="5">
        <v>463256</v>
      </c>
      <c r="D127" s="3" t="s">
        <v>26</v>
      </c>
      <c r="E127">
        <f t="shared" si="4"/>
        <v>52.884317113679288</v>
      </c>
      <c r="F127">
        <f t="shared" si="5"/>
        <v>47.115682886320712</v>
      </c>
    </row>
    <row r="128" spans="1:6" x14ac:dyDescent="0.2">
      <c r="A128" s="3" t="s">
        <v>57</v>
      </c>
      <c r="B128" s="5">
        <v>812555</v>
      </c>
      <c r="C128" s="5">
        <v>686384</v>
      </c>
      <c r="D128" s="3" t="s">
        <v>57</v>
      </c>
      <c r="E128">
        <f t="shared" si="4"/>
        <v>54.20867693748712</v>
      </c>
      <c r="F128">
        <f t="shared" si="5"/>
        <v>45.791323062512888</v>
      </c>
    </row>
    <row r="129" spans="1:6" x14ac:dyDescent="0.2">
      <c r="A129" s="3" t="s">
        <v>27</v>
      </c>
      <c r="B129" s="5">
        <v>8740</v>
      </c>
      <c r="C129" s="5">
        <v>7270</v>
      </c>
      <c r="D129" s="3" t="s">
        <v>27</v>
      </c>
      <c r="E129">
        <f t="shared" si="4"/>
        <v>54.590880699562774</v>
      </c>
      <c r="F129">
        <f t="shared" si="5"/>
        <v>45.409119300437226</v>
      </c>
    </row>
    <row r="130" spans="1:6" x14ac:dyDescent="0.2">
      <c r="A130" s="3" t="s">
        <v>43</v>
      </c>
      <c r="B130" s="5">
        <v>67992</v>
      </c>
      <c r="C130" s="5">
        <v>41629</v>
      </c>
      <c r="D130" s="3" t="s">
        <v>43</v>
      </c>
      <c r="E130">
        <f t="shared" si="4"/>
        <v>62.024612072504354</v>
      </c>
      <c r="F130">
        <f t="shared" si="5"/>
        <v>37.975387927495646</v>
      </c>
    </row>
    <row r="131" spans="1:6" x14ac:dyDescent="0.2">
      <c r="A131" s="3" t="s">
        <v>35</v>
      </c>
      <c r="B131" s="5">
        <v>12917</v>
      </c>
      <c r="C131" s="5">
        <v>7873</v>
      </c>
      <c r="D131" s="3" t="s">
        <v>35</v>
      </c>
      <c r="E131">
        <f t="shared" si="4"/>
        <v>62.130832130832133</v>
      </c>
      <c r="F131">
        <f t="shared" si="5"/>
        <v>37.869167869167867</v>
      </c>
    </row>
    <row r="132" spans="1:6" x14ac:dyDescent="0.2">
      <c r="A132" s="3" t="s">
        <v>39</v>
      </c>
      <c r="B132" s="5">
        <v>6456</v>
      </c>
      <c r="C132" s="5">
        <v>3807</v>
      </c>
      <c r="D132" s="3" t="s">
        <v>39</v>
      </c>
      <c r="E132">
        <f t="shared" si="4"/>
        <v>62.905583162817891</v>
      </c>
      <c r="F132">
        <f t="shared" si="5"/>
        <v>37.094416837182109</v>
      </c>
    </row>
    <row r="133" spans="1:6" x14ac:dyDescent="0.2">
      <c r="A133" s="3" t="s">
        <v>22</v>
      </c>
      <c r="B133" s="5">
        <v>33190</v>
      </c>
      <c r="C133" s="5">
        <v>19511</v>
      </c>
      <c r="D133" s="3" t="s">
        <v>22</v>
      </c>
      <c r="E133">
        <f t="shared" si="4"/>
        <v>62.977932107550146</v>
      </c>
      <c r="F133">
        <f t="shared" si="5"/>
        <v>37.022067892449861</v>
      </c>
    </row>
    <row r="134" spans="1:6" x14ac:dyDescent="0.2">
      <c r="A134" s="3" t="s">
        <v>31</v>
      </c>
      <c r="B134" s="5">
        <v>537590</v>
      </c>
      <c r="C134" s="5">
        <v>314651</v>
      </c>
      <c r="D134" s="3" t="s">
        <v>31</v>
      </c>
      <c r="E134">
        <f t="shared" si="4"/>
        <v>63.079574908975282</v>
      </c>
      <c r="F134">
        <f t="shared" si="5"/>
        <v>36.920425091024725</v>
      </c>
    </row>
    <row r="135" spans="1:6" x14ac:dyDescent="0.2">
      <c r="A135" s="3" t="s">
        <v>30</v>
      </c>
      <c r="B135" s="5">
        <v>381109</v>
      </c>
      <c r="C135" s="5">
        <v>206807</v>
      </c>
      <c r="D135" s="3" t="s">
        <v>30</v>
      </c>
      <c r="E135">
        <f t="shared" si="4"/>
        <v>64.823716313214817</v>
      </c>
      <c r="F135">
        <f t="shared" si="5"/>
        <v>35.17628368678519</v>
      </c>
    </row>
    <row r="136" spans="1:6" x14ac:dyDescent="0.2">
      <c r="A136" s="3" t="s">
        <v>50</v>
      </c>
      <c r="B136" s="5">
        <v>4235</v>
      </c>
      <c r="C136" s="5">
        <v>2042</v>
      </c>
      <c r="D136" s="3" t="s">
        <v>50</v>
      </c>
      <c r="E136">
        <f t="shared" si="4"/>
        <v>67.46853592480484</v>
      </c>
      <c r="F136">
        <f t="shared" si="5"/>
        <v>32.531464075195153</v>
      </c>
    </row>
    <row r="137" spans="1:6" x14ac:dyDescent="0.2">
      <c r="A137" s="3" t="s">
        <v>48</v>
      </c>
      <c r="B137" s="5">
        <v>76322</v>
      </c>
      <c r="C137" s="5">
        <v>36728</v>
      </c>
      <c r="D137" s="3" t="s">
        <v>48</v>
      </c>
      <c r="E137">
        <f t="shared" si="4"/>
        <v>67.511720477664753</v>
      </c>
      <c r="F137">
        <f t="shared" si="5"/>
        <v>32.488279522335247</v>
      </c>
    </row>
    <row r="138" spans="1:6" x14ac:dyDescent="0.2">
      <c r="A138" s="3" t="s">
        <v>25</v>
      </c>
      <c r="B138" s="5">
        <v>62374</v>
      </c>
      <c r="C138" s="5">
        <v>29047</v>
      </c>
      <c r="D138" s="3" t="s">
        <v>25</v>
      </c>
      <c r="E138">
        <f t="shared" si="4"/>
        <v>68.22721256604062</v>
      </c>
      <c r="F138">
        <f t="shared" si="5"/>
        <v>31.772787433959373</v>
      </c>
    </row>
    <row r="139" spans="1:6" x14ac:dyDescent="0.2">
      <c r="A139" s="3" t="s">
        <v>29</v>
      </c>
      <c r="B139" s="5">
        <v>107146</v>
      </c>
      <c r="C139" s="5">
        <v>46156</v>
      </c>
      <c r="D139" s="3" t="s">
        <v>29</v>
      </c>
      <c r="E139">
        <f t="shared" si="4"/>
        <v>69.892108387366122</v>
      </c>
      <c r="F139">
        <f t="shared" si="5"/>
        <v>30.107891612633885</v>
      </c>
    </row>
    <row r="140" spans="1:6" x14ac:dyDescent="0.2">
      <c r="A140" s="3" t="s">
        <v>38</v>
      </c>
      <c r="B140" s="5">
        <v>83530</v>
      </c>
      <c r="C140" s="5">
        <v>29954</v>
      </c>
      <c r="D140" s="3" t="s">
        <v>38</v>
      </c>
      <c r="E140">
        <f t="shared" si="4"/>
        <v>73.6050897042755</v>
      </c>
      <c r="F140">
        <f t="shared" si="5"/>
        <v>26.394910295724511</v>
      </c>
    </row>
    <row r="141" spans="1:6" x14ac:dyDescent="0.2">
      <c r="A141" s="3" t="s">
        <v>36</v>
      </c>
      <c r="B141" s="5">
        <v>26593</v>
      </c>
      <c r="C141" s="5">
        <v>7217</v>
      </c>
      <c r="D141" s="3" t="s">
        <v>36</v>
      </c>
      <c r="E141">
        <f t="shared" si="4"/>
        <v>78.654244306418221</v>
      </c>
      <c r="F141">
        <f t="shared" si="5"/>
        <v>21.345755693581779</v>
      </c>
    </row>
    <row r="142" spans="1:6" x14ac:dyDescent="0.2">
      <c r="A142" s="3" t="s">
        <v>34</v>
      </c>
      <c r="B142" s="5">
        <v>7788</v>
      </c>
      <c r="C142" s="5">
        <v>1727</v>
      </c>
      <c r="D142" s="3" t="s">
        <v>34</v>
      </c>
      <c r="E142">
        <f t="shared" si="4"/>
        <v>81.849710982658948</v>
      </c>
      <c r="F142">
        <f t="shared" si="5"/>
        <v>18.150289017341038</v>
      </c>
    </row>
  </sheetData>
  <mergeCells count="3">
    <mergeCell ref="A12:C12"/>
    <mergeCell ref="A52:C52"/>
    <mergeCell ref="A108:C108"/>
  </mergeCells>
  <pageMargins left="0.78740157499999996" right="0.78740157499999996" top="0.984251969" bottom="0.984251969" header="0.5" footer="0.5"/>
  <pageSetup paperSize="9" scale="10" firstPageNumber="0" fitToWidth="0" fitToHeight="0" pageOrder="overThenDown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0"/>
  <sheetViews>
    <sheetView topLeftCell="A11" zoomScale="70" zoomScaleNormal="70" workbookViewId="0">
      <selection activeCell="N45" sqref="N45"/>
    </sheetView>
  </sheetViews>
  <sheetFormatPr defaultRowHeight="14.25" x14ac:dyDescent="0.2"/>
  <sheetData>
    <row r="1" spans="1:9" x14ac:dyDescent="0.2">
      <c r="A1" s="1" t="s">
        <v>0</v>
      </c>
    </row>
    <row r="3" spans="1:9" x14ac:dyDescent="0.2">
      <c r="A3" s="1" t="s">
        <v>1</v>
      </c>
      <c r="B3" s="2">
        <v>43990.837187500001</v>
      </c>
    </row>
    <row r="4" spans="1:9" x14ac:dyDescent="0.2">
      <c r="A4" s="1" t="s">
        <v>2</v>
      </c>
      <c r="B4" s="2">
        <v>44002.107865983795</v>
      </c>
    </row>
    <row r="5" spans="1:9" x14ac:dyDescent="0.2">
      <c r="A5" s="1" t="s">
        <v>3</v>
      </c>
      <c r="B5" s="1" t="s">
        <v>4</v>
      </c>
    </row>
    <row r="7" spans="1:9" x14ac:dyDescent="0.2">
      <c r="A7" s="1" t="s">
        <v>5</v>
      </c>
      <c r="B7" s="1" t="s">
        <v>6</v>
      </c>
    </row>
    <row r="8" spans="1:9" x14ac:dyDescent="0.2">
      <c r="A8" s="1" t="s">
        <v>7</v>
      </c>
      <c r="B8" s="1" t="s">
        <v>8</v>
      </c>
    </row>
    <row r="9" spans="1:9" x14ac:dyDescent="0.2">
      <c r="A9" s="1" t="s">
        <v>9</v>
      </c>
      <c r="B9" s="1" t="s">
        <v>8</v>
      </c>
    </row>
    <row r="10" spans="1:9" x14ac:dyDescent="0.2">
      <c r="A10" s="1" t="s">
        <v>10</v>
      </c>
      <c r="B10" s="1" t="s">
        <v>61</v>
      </c>
    </row>
    <row r="11" spans="1:9" x14ac:dyDescent="0.2">
      <c r="A11" s="1"/>
      <c r="B11" s="1"/>
    </row>
    <row r="12" spans="1:9" x14ac:dyDescent="0.2">
      <c r="A12" s="10">
        <v>2018</v>
      </c>
      <c r="B12" s="10"/>
      <c r="C12" s="10"/>
      <c r="D12" s="10">
        <v>2017</v>
      </c>
      <c r="E12" s="10"/>
      <c r="F12" s="10"/>
      <c r="G12" s="10">
        <v>2016</v>
      </c>
      <c r="H12" s="10"/>
      <c r="I12" s="10"/>
    </row>
    <row r="13" spans="1:9" x14ac:dyDescent="0.2">
      <c r="A13" s="3" t="s">
        <v>12</v>
      </c>
      <c r="B13" s="6" t="s">
        <v>77</v>
      </c>
      <c r="C13" s="6" t="s">
        <v>76</v>
      </c>
      <c r="D13" s="3" t="s">
        <v>12</v>
      </c>
      <c r="E13" s="6" t="s">
        <v>77</v>
      </c>
      <c r="F13" s="6" t="s">
        <v>76</v>
      </c>
      <c r="G13" s="3" t="s">
        <v>12</v>
      </c>
      <c r="H13" s="6" t="s">
        <v>77</v>
      </c>
      <c r="I13" s="6" t="s">
        <v>76</v>
      </c>
    </row>
    <row r="14" spans="1:9" x14ac:dyDescent="0.2">
      <c r="A14" s="3" t="s">
        <v>22</v>
      </c>
      <c r="B14" s="5">
        <v>68708</v>
      </c>
      <c r="C14" s="5">
        <v>35811</v>
      </c>
      <c r="D14" s="3" t="s">
        <v>23</v>
      </c>
      <c r="E14" s="5">
        <v>29768</v>
      </c>
      <c r="F14" s="5">
        <v>30753</v>
      </c>
      <c r="G14" s="3" t="s">
        <v>22</v>
      </c>
      <c r="H14" s="5">
        <v>33190</v>
      </c>
      <c r="I14" s="5">
        <v>19511</v>
      </c>
    </row>
    <row r="15" spans="1:9" x14ac:dyDescent="0.2">
      <c r="A15" s="3" t="s">
        <v>23</v>
      </c>
      <c r="B15" s="5">
        <v>38067</v>
      </c>
      <c r="C15" s="5">
        <v>43444</v>
      </c>
      <c r="D15" s="3" t="s">
        <v>24</v>
      </c>
      <c r="E15" s="5">
        <v>25955</v>
      </c>
      <c r="F15" s="5">
        <v>62839</v>
      </c>
      <c r="G15" s="3" t="s">
        <v>23</v>
      </c>
      <c r="H15" s="5">
        <v>30270</v>
      </c>
      <c r="I15" s="5">
        <v>32909</v>
      </c>
    </row>
    <row r="16" spans="1:9" x14ac:dyDescent="0.2">
      <c r="A16" s="3" t="s">
        <v>24</v>
      </c>
      <c r="B16" s="5">
        <v>25833</v>
      </c>
      <c r="C16" s="5">
        <v>63883</v>
      </c>
      <c r="D16" s="3" t="s">
        <v>25</v>
      </c>
      <c r="E16" s="5">
        <v>65157</v>
      </c>
      <c r="F16" s="5">
        <v>28530</v>
      </c>
      <c r="G16" s="3" t="s">
        <v>24</v>
      </c>
      <c r="H16" s="5">
        <v>25981</v>
      </c>
      <c r="I16" s="5">
        <v>62722</v>
      </c>
    </row>
    <row r="17" spans="1:9" x14ac:dyDescent="0.2">
      <c r="A17" s="3" t="s">
        <v>25</v>
      </c>
      <c r="B17" s="5">
        <v>62376</v>
      </c>
      <c r="C17" s="5">
        <v>28869</v>
      </c>
      <c r="D17" s="3" t="s">
        <v>26</v>
      </c>
      <c r="E17" s="5">
        <v>550129</v>
      </c>
      <c r="F17" s="5">
        <v>450535</v>
      </c>
      <c r="G17" s="3" t="s">
        <v>25</v>
      </c>
      <c r="H17" s="5">
        <v>62374</v>
      </c>
      <c r="I17" s="5">
        <v>29047</v>
      </c>
    </row>
    <row r="18" spans="1:9" x14ac:dyDescent="0.2">
      <c r="A18" s="3" t="s">
        <v>26</v>
      </c>
      <c r="B18" s="5">
        <v>468783</v>
      </c>
      <c r="C18" s="5">
        <v>448728</v>
      </c>
      <c r="D18" s="3" t="s">
        <v>27</v>
      </c>
      <c r="E18" s="5">
        <v>8675</v>
      </c>
      <c r="F18" s="5">
        <v>7057</v>
      </c>
      <c r="G18" s="3" t="s">
        <v>26</v>
      </c>
      <c r="H18" s="5">
        <v>519975</v>
      </c>
      <c r="I18" s="5">
        <v>463256</v>
      </c>
    </row>
    <row r="19" spans="1:9" x14ac:dyDescent="0.2">
      <c r="A19" s="3" t="s">
        <v>27</v>
      </c>
      <c r="B19" s="5">
        <v>8821</v>
      </c>
      <c r="C19" s="5">
        <v>7153</v>
      </c>
      <c r="D19" s="3" t="s">
        <v>29</v>
      </c>
      <c r="E19" s="5">
        <v>103719</v>
      </c>
      <c r="F19" s="5">
        <v>41721</v>
      </c>
      <c r="G19" s="3" t="s">
        <v>27</v>
      </c>
      <c r="H19" s="5">
        <v>8740</v>
      </c>
      <c r="I19" s="5">
        <v>7270</v>
      </c>
    </row>
    <row r="20" spans="1:9" x14ac:dyDescent="0.2">
      <c r="A20" s="3" t="s">
        <v>28</v>
      </c>
      <c r="B20" s="5">
        <v>64798</v>
      </c>
      <c r="C20" s="5">
        <v>77191</v>
      </c>
      <c r="D20" s="3" t="s">
        <v>30</v>
      </c>
      <c r="E20" s="5">
        <v>381230</v>
      </c>
      <c r="F20" s="5">
        <v>216731</v>
      </c>
      <c r="G20" s="3" t="s">
        <v>29</v>
      </c>
      <c r="H20" s="5">
        <v>107146</v>
      </c>
      <c r="I20" s="5">
        <v>46156</v>
      </c>
    </row>
    <row r="21" spans="1:9" x14ac:dyDescent="0.2">
      <c r="A21" s="3" t="s">
        <v>29</v>
      </c>
      <c r="B21" s="5">
        <v>99041</v>
      </c>
      <c r="C21" s="5">
        <v>42353</v>
      </c>
      <c r="D21" s="3" t="s">
        <v>31</v>
      </c>
      <c r="E21" s="5">
        <v>546021</v>
      </c>
      <c r="F21" s="5">
        <v>314538</v>
      </c>
      <c r="G21" s="3" t="s">
        <v>30</v>
      </c>
      <c r="H21" s="5">
        <v>381109</v>
      </c>
      <c r="I21" s="5">
        <v>206807</v>
      </c>
    </row>
    <row r="22" spans="1:9" x14ac:dyDescent="0.2">
      <c r="A22" s="3" t="s">
        <v>30</v>
      </c>
      <c r="B22" s="5">
        <v>385540</v>
      </c>
      <c r="C22" s="5">
        <v>222025</v>
      </c>
      <c r="D22" s="3" t="s">
        <v>32</v>
      </c>
      <c r="E22" s="5">
        <v>12242</v>
      </c>
      <c r="F22" s="5">
        <v>29787</v>
      </c>
      <c r="G22" s="3" t="s">
        <v>31</v>
      </c>
      <c r="H22" s="5">
        <v>537590</v>
      </c>
      <c r="I22" s="5">
        <v>314651</v>
      </c>
    </row>
    <row r="23" spans="1:9" x14ac:dyDescent="0.2">
      <c r="A23" s="3" t="s">
        <v>31</v>
      </c>
      <c r="B23" s="5">
        <v>545584</v>
      </c>
      <c r="C23" s="5">
        <v>307849</v>
      </c>
      <c r="D23" s="3" t="s">
        <v>33</v>
      </c>
      <c r="E23" s="5">
        <v>288439</v>
      </c>
      <c r="F23" s="5">
        <v>323218</v>
      </c>
      <c r="G23" s="3" t="s">
        <v>32</v>
      </c>
      <c r="H23" s="5">
        <v>12627</v>
      </c>
      <c r="I23" s="5">
        <v>32040</v>
      </c>
    </row>
    <row r="24" spans="1:9" x14ac:dyDescent="0.2">
      <c r="A24" s="3" t="s">
        <v>32</v>
      </c>
      <c r="B24" s="5">
        <v>11853</v>
      </c>
      <c r="C24" s="5">
        <v>28589</v>
      </c>
      <c r="D24" s="3" t="s">
        <v>34</v>
      </c>
      <c r="E24" s="5">
        <v>7602</v>
      </c>
      <c r="F24" s="5">
        <v>1661</v>
      </c>
      <c r="G24" s="3" t="s">
        <v>33</v>
      </c>
      <c r="H24" s="5">
        <v>287302</v>
      </c>
      <c r="I24" s="5">
        <v>336484</v>
      </c>
    </row>
    <row r="25" spans="1:9" x14ac:dyDescent="0.2">
      <c r="A25" s="3" t="s">
        <v>33</v>
      </c>
      <c r="B25" s="5">
        <v>300422</v>
      </c>
      <c r="C25" s="5">
        <v>334383</v>
      </c>
      <c r="D25" s="3" t="s">
        <v>35</v>
      </c>
      <c r="E25" s="5">
        <v>13188</v>
      </c>
      <c r="F25" s="5">
        <v>8923</v>
      </c>
      <c r="G25" s="3" t="s">
        <v>34</v>
      </c>
      <c r="H25" s="5">
        <v>7788</v>
      </c>
      <c r="I25" s="5">
        <v>1727</v>
      </c>
    </row>
    <row r="26" spans="1:9" x14ac:dyDescent="0.2">
      <c r="A26" s="3" t="s">
        <v>34</v>
      </c>
      <c r="B26" s="5">
        <v>7355</v>
      </c>
      <c r="C26" s="5">
        <v>1572</v>
      </c>
      <c r="D26" s="3" t="s">
        <v>36</v>
      </c>
      <c r="E26" s="5">
        <v>26009</v>
      </c>
      <c r="F26" s="5">
        <v>7331</v>
      </c>
      <c r="G26" s="3" t="s">
        <v>35</v>
      </c>
      <c r="H26" s="5">
        <v>12917</v>
      </c>
      <c r="I26" s="5">
        <v>7873</v>
      </c>
    </row>
    <row r="27" spans="1:9" x14ac:dyDescent="0.2">
      <c r="A27" s="3" t="s">
        <v>35</v>
      </c>
      <c r="B27" s="5">
        <v>12507</v>
      </c>
      <c r="C27" s="5">
        <v>8605</v>
      </c>
      <c r="D27" s="3" t="s">
        <v>37</v>
      </c>
      <c r="E27" s="5">
        <v>2636</v>
      </c>
      <c r="F27" s="5">
        <v>3993</v>
      </c>
      <c r="G27" s="3" t="s">
        <v>36</v>
      </c>
      <c r="H27" s="5">
        <v>26593</v>
      </c>
      <c r="I27" s="5">
        <v>7217</v>
      </c>
    </row>
    <row r="28" spans="1:9" x14ac:dyDescent="0.2">
      <c r="A28" s="3" t="s">
        <v>36</v>
      </c>
      <c r="B28" s="5">
        <v>23911</v>
      </c>
      <c r="C28" s="5">
        <v>6175</v>
      </c>
      <c r="D28" s="3" t="s">
        <v>38</v>
      </c>
      <c r="E28" s="5">
        <v>90933</v>
      </c>
      <c r="F28" s="5">
        <v>29865</v>
      </c>
      <c r="G28" s="3" t="s">
        <v>37</v>
      </c>
      <c r="H28" s="5">
        <v>2478</v>
      </c>
      <c r="I28" s="5">
        <v>3977</v>
      </c>
    </row>
    <row r="29" spans="1:9" x14ac:dyDescent="0.2">
      <c r="A29" s="3" t="s">
        <v>37</v>
      </c>
      <c r="B29" s="5">
        <v>2483</v>
      </c>
      <c r="C29" s="5">
        <v>3992</v>
      </c>
      <c r="D29" s="3" t="s">
        <v>39</v>
      </c>
      <c r="E29" s="5">
        <v>6527</v>
      </c>
      <c r="F29" s="5">
        <v>3325</v>
      </c>
      <c r="G29" s="3" t="s">
        <v>38</v>
      </c>
      <c r="H29" s="5">
        <v>83530</v>
      </c>
      <c r="I29" s="5">
        <v>29954</v>
      </c>
    </row>
    <row r="30" spans="1:9" x14ac:dyDescent="0.2">
      <c r="A30" s="3" t="s">
        <v>38</v>
      </c>
      <c r="B30" s="5">
        <v>51249</v>
      </c>
      <c r="C30" s="5">
        <v>61442</v>
      </c>
      <c r="D30" s="3" t="s">
        <v>40</v>
      </c>
      <c r="E30" s="5">
        <v>98944</v>
      </c>
      <c r="F30" s="5">
        <v>117579</v>
      </c>
      <c r="G30" s="3" t="s">
        <v>39</v>
      </c>
      <c r="H30" s="5">
        <v>6456</v>
      </c>
      <c r="I30" s="5">
        <v>3807</v>
      </c>
    </row>
    <row r="31" spans="1:9" x14ac:dyDescent="0.2">
      <c r="A31" s="3" t="s">
        <v>39</v>
      </c>
      <c r="B31" s="5">
        <v>6784</v>
      </c>
      <c r="C31" s="5">
        <v>3414</v>
      </c>
      <c r="D31" s="3" t="s">
        <v>41</v>
      </c>
      <c r="E31" s="5">
        <v>40422</v>
      </c>
      <c r="F31" s="5">
        <v>66646</v>
      </c>
      <c r="G31" s="3" t="s">
        <v>40</v>
      </c>
      <c r="H31" s="5">
        <v>97338</v>
      </c>
      <c r="I31" s="5">
        <v>114158</v>
      </c>
    </row>
    <row r="32" spans="1:9" x14ac:dyDescent="0.2">
      <c r="A32" s="3" t="s">
        <v>40</v>
      </c>
      <c r="B32" s="5">
        <v>98666</v>
      </c>
      <c r="C32" s="5">
        <v>117892</v>
      </c>
      <c r="D32" s="3" t="s">
        <v>42</v>
      </c>
      <c r="E32" s="5">
        <v>153473</v>
      </c>
      <c r="F32" s="5">
        <v>177793</v>
      </c>
      <c r="G32" s="3" t="s">
        <v>41</v>
      </c>
      <c r="H32" s="5">
        <v>40729</v>
      </c>
      <c r="I32" s="5">
        <v>66328</v>
      </c>
    </row>
    <row r="33" spans="1:13" x14ac:dyDescent="0.2">
      <c r="A33" s="3" t="s">
        <v>41</v>
      </c>
      <c r="B33" s="5">
        <v>40386</v>
      </c>
      <c r="C33" s="5">
        <v>67177</v>
      </c>
      <c r="D33" s="3" t="s">
        <v>43</v>
      </c>
      <c r="E33" s="5">
        <v>66132</v>
      </c>
      <c r="F33" s="5">
        <v>40015</v>
      </c>
      <c r="G33" s="3" t="s">
        <v>42</v>
      </c>
      <c r="H33" s="5">
        <v>159086</v>
      </c>
      <c r="I33" s="5">
        <v>179104</v>
      </c>
    </row>
    <row r="34" spans="1:13" x14ac:dyDescent="0.2">
      <c r="A34" s="3" t="s">
        <v>42</v>
      </c>
      <c r="B34" s="5">
        <v>152217</v>
      </c>
      <c r="C34" s="5">
        <v>167761</v>
      </c>
      <c r="D34" s="3" t="s">
        <v>44</v>
      </c>
      <c r="E34" s="5">
        <v>76851</v>
      </c>
      <c r="F34" s="5">
        <v>105847</v>
      </c>
      <c r="G34" s="3" t="s">
        <v>43</v>
      </c>
      <c r="H34" s="5">
        <v>67992</v>
      </c>
      <c r="I34" s="5">
        <v>41629</v>
      </c>
    </row>
    <row r="35" spans="1:13" x14ac:dyDescent="0.2">
      <c r="A35" s="3" t="s">
        <v>43</v>
      </c>
      <c r="B35" s="5">
        <v>66254</v>
      </c>
      <c r="C35" s="5">
        <v>38616</v>
      </c>
      <c r="D35" s="3" t="s">
        <v>45</v>
      </c>
      <c r="E35" s="5">
        <v>6794</v>
      </c>
      <c r="F35" s="5">
        <v>21378</v>
      </c>
      <c r="G35" s="3" t="s">
        <v>44</v>
      </c>
      <c r="H35" s="5">
        <v>78745</v>
      </c>
      <c r="I35" s="5">
        <v>111707</v>
      </c>
    </row>
    <row r="36" spans="1:13" x14ac:dyDescent="0.2">
      <c r="A36" s="3" t="s">
        <v>44</v>
      </c>
      <c r="B36" s="5">
        <v>75935</v>
      </c>
      <c r="C36" s="5">
        <v>101431</v>
      </c>
      <c r="D36" s="3" t="s">
        <v>46</v>
      </c>
      <c r="E36" s="5">
        <v>14595</v>
      </c>
      <c r="F36" s="5">
        <v>34643</v>
      </c>
      <c r="G36" s="3" t="s">
        <v>45</v>
      </c>
      <c r="H36" s="5">
        <v>6783</v>
      </c>
      <c r="I36" s="5">
        <v>23616</v>
      </c>
    </row>
    <row r="37" spans="1:13" x14ac:dyDescent="0.2">
      <c r="A37" s="3" t="s">
        <v>45</v>
      </c>
      <c r="B37" s="5">
        <v>6832</v>
      </c>
      <c r="C37" s="5">
        <v>20961</v>
      </c>
      <c r="D37" s="3" t="s">
        <v>47</v>
      </c>
      <c r="E37" s="5">
        <v>33403</v>
      </c>
      <c r="F37" s="5">
        <v>52534</v>
      </c>
      <c r="G37" s="3" t="s">
        <v>46</v>
      </c>
      <c r="H37" s="5">
        <v>15169</v>
      </c>
      <c r="I37" s="5">
        <v>36443</v>
      </c>
    </row>
    <row r="38" spans="1:13" x14ac:dyDescent="0.2">
      <c r="A38" s="3" t="s">
        <v>46</v>
      </c>
      <c r="B38" s="5">
        <v>14026</v>
      </c>
      <c r="C38" s="5">
        <v>33442</v>
      </c>
      <c r="D38" s="3" t="s">
        <v>48</v>
      </c>
      <c r="E38" s="5">
        <v>95446</v>
      </c>
      <c r="F38" s="5">
        <v>37877</v>
      </c>
      <c r="G38" s="3" t="s">
        <v>47</v>
      </c>
      <c r="H38" s="5">
        <v>33055</v>
      </c>
      <c r="I38" s="5">
        <v>49271</v>
      </c>
    </row>
    <row r="39" spans="1:13" x14ac:dyDescent="0.2">
      <c r="A39" s="3" t="s">
        <v>47</v>
      </c>
      <c r="B39" s="5">
        <v>33961</v>
      </c>
      <c r="C39" s="5">
        <v>54417</v>
      </c>
      <c r="D39" s="3" t="s">
        <v>49</v>
      </c>
      <c r="E39" s="5">
        <v>686916</v>
      </c>
      <c r="F39" s="5">
        <v>1287174</v>
      </c>
      <c r="G39" s="3" t="s">
        <v>48</v>
      </c>
      <c r="H39" s="5">
        <v>76322</v>
      </c>
      <c r="I39" s="5">
        <v>36728</v>
      </c>
    </row>
    <row r="40" spans="1:13" x14ac:dyDescent="0.2">
      <c r="A40" s="3" t="s">
        <v>48</v>
      </c>
      <c r="B40" s="5">
        <v>92092</v>
      </c>
      <c r="C40" s="5">
        <v>39824</v>
      </c>
      <c r="D40" s="3" t="s">
        <v>50</v>
      </c>
      <c r="E40" s="5">
        <v>4437</v>
      </c>
      <c r="F40" s="5">
        <v>1848</v>
      </c>
      <c r="G40" s="3" t="s">
        <v>49</v>
      </c>
      <c r="H40" s="5">
        <v>694323</v>
      </c>
      <c r="I40" s="5">
        <v>1194576</v>
      </c>
    </row>
    <row r="41" spans="1:13" x14ac:dyDescent="0.2">
      <c r="A41" s="3" t="s">
        <v>49</v>
      </c>
      <c r="B41" s="5">
        <v>708045</v>
      </c>
      <c r="C41" s="5">
        <v>1082428</v>
      </c>
      <c r="D41" s="3" t="s">
        <v>52</v>
      </c>
      <c r="E41" s="5">
        <v>38240</v>
      </c>
      <c r="F41" s="5">
        <v>29316</v>
      </c>
      <c r="G41" s="3" t="s">
        <v>50</v>
      </c>
      <c r="H41" s="5">
        <v>4235</v>
      </c>
      <c r="I41" s="5">
        <v>2042</v>
      </c>
    </row>
    <row r="42" spans="1:13" x14ac:dyDescent="0.2">
      <c r="A42" s="3" t="s">
        <v>50</v>
      </c>
      <c r="B42" s="5">
        <v>4270</v>
      </c>
      <c r="C42" s="5">
        <v>1833</v>
      </c>
      <c r="D42" s="3" t="s">
        <v>53</v>
      </c>
      <c r="E42" s="5">
        <v>50781</v>
      </c>
      <c r="F42" s="5">
        <v>63480</v>
      </c>
      <c r="G42" s="3" t="s">
        <v>51</v>
      </c>
      <c r="H42" s="5">
        <v>185</v>
      </c>
      <c r="I42" s="5">
        <v>323</v>
      </c>
    </row>
    <row r="43" spans="1:13" x14ac:dyDescent="0.2">
      <c r="A43" s="3" t="s">
        <v>51</v>
      </c>
      <c r="B43" s="5">
        <v>175</v>
      </c>
      <c r="C43" s="5">
        <v>256</v>
      </c>
      <c r="D43" s="3" t="s">
        <v>56</v>
      </c>
      <c r="E43" s="5">
        <v>64395</v>
      </c>
      <c r="F43" s="5">
        <v>185384</v>
      </c>
      <c r="G43" s="3" t="s">
        <v>52</v>
      </c>
      <c r="H43" s="5">
        <v>35528</v>
      </c>
      <c r="I43" s="5">
        <v>31725</v>
      </c>
    </row>
    <row r="44" spans="1:13" x14ac:dyDescent="0.2">
      <c r="A44" s="3" t="s">
        <v>52</v>
      </c>
      <c r="B44" s="5">
        <v>36924</v>
      </c>
      <c r="C44" s="5">
        <v>29499</v>
      </c>
      <c r="D44" s="3" t="s">
        <v>57</v>
      </c>
      <c r="E44" s="5">
        <v>768031</v>
      </c>
      <c r="F44" s="5">
        <v>622282</v>
      </c>
      <c r="G44" s="3" t="s">
        <v>53</v>
      </c>
      <c r="H44" s="5">
        <v>49664</v>
      </c>
      <c r="I44" s="5">
        <v>63889</v>
      </c>
    </row>
    <row r="45" spans="1:13" x14ac:dyDescent="0.2">
      <c r="A45" s="3" t="s">
        <v>53</v>
      </c>
      <c r="B45" s="5">
        <v>50458</v>
      </c>
      <c r="C45" s="5">
        <v>61944</v>
      </c>
      <c r="G45" s="3" t="s">
        <v>56</v>
      </c>
      <c r="H45" s="5">
        <v>64766</v>
      </c>
      <c r="I45" s="5">
        <v>188410</v>
      </c>
    </row>
    <row r="46" spans="1:13" x14ac:dyDescent="0.2">
      <c r="A46" s="3" t="s">
        <v>56</v>
      </c>
      <c r="B46" s="5">
        <v>65226</v>
      </c>
      <c r="C46" s="5">
        <v>183678</v>
      </c>
      <c r="G46" s="3" t="s">
        <v>57</v>
      </c>
      <c r="H46" s="5">
        <v>812555</v>
      </c>
      <c r="I46" s="5">
        <v>686384</v>
      </c>
    </row>
    <row r="47" spans="1:13" x14ac:dyDescent="0.2">
      <c r="A47" s="3" t="s">
        <v>57</v>
      </c>
      <c r="B47" s="5">
        <v>711923</v>
      </c>
      <c r="C47" s="5">
        <v>641367</v>
      </c>
      <c r="G47" s="1"/>
      <c r="J47" s="1"/>
      <c r="M47" s="1"/>
    </row>
    <row r="49" spans="1:13" x14ac:dyDescent="0.2">
      <c r="A49" s="1"/>
    </row>
    <row r="50" spans="1:13" x14ac:dyDescent="0.2">
      <c r="A50" s="1"/>
      <c r="B50" s="1"/>
    </row>
    <row r="58" spans="1:13" x14ac:dyDescent="0.2">
      <c r="G58" s="1"/>
      <c r="J58" s="1"/>
      <c r="M58" s="1"/>
    </row>
    <row r="69" spans="7:13" x14ac:dyDescent="0.2">
      <c r="G69" s="1"/>
      <c r="J69" s="1"/>
      <c r="M69" s="1"/>
    </row>
    <row r="80" spans="7:13" x14ac:dyDescent="0.2">
      <c r="G80" s="1"/>
      <c r="J80" s="1"/>
      <c r="M80" s="1"/>
    </row>
  </sheetData>
  <mergeCells count="3">
    <mergeCell ref="A12:C12"/>
    <mergeCell ref="D12:F12"/>
    <mergeCell ref="G12:I12"/>
  </mergeCells>
  <phoneticPr fontId="2" type="noConversion"/>
  <pageMargins left="0.78740157499999996" right="0.78740157499999996" top="0.984251969" bottom="0.984251969" header="0.5" footer="0.5"/>
  <pageSetup paperSize="9" scale="10" firstPageNumber="0" fitToWidth="0" fitToHeight="0" pageOrder="overThenDown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3"/>
  <sheetViews>
    <sheetView topLeftCell="A10" zoomScale="70" zoomScaleNormal="100" workbookViewId="0">
      <selection activeCell="M15" sqref="M15"/>
    </sheetView>
  </sheetViews>
  <sheetFormatPr defaultRowHeight="14.25" x14ac:dyDescent="0.2"/>
  <sheetData>
    <row r="1" spans="1:16" x14ac:dyDescent="0.2">
      <c r="A1" s="1" t="s">
        <v>0</v>
      </c>
    </row>
    <row r="3" spans="1:16" x14ac:dyDescent="0.2">
      <c r="A3" s="1" t="s">
        <v>1</v>
      </c>
      <c r="B3" s="2">
        <v>43990.837187500001</v>
      </c>
    </row>
    <row r="4" spans="1:16" x14ac:dyDescent="0.2">
      <c r="A4" s="1" t="s">
        <v>2</v>
      </c>
      <c r="B4" s="2">
        <v>44002.107865983795</v>
      </c>
    </row>
    <row r="5" spans="1:16" x14ac:dyDescent="0.2">
      <c r="A5" s="1" t="s">
        <v>3</v>
      </c>
      <c r="B5" s="1" t="s">
        <v>4</v>
      </c>
    </row>
    <row r="7" spans="1:16" x14ac:dyDescent="0.2">
      <c r="A7" s="1" t="s">
        <v>5</v>
      </c>
      <c r="B7" s="1" t="s">
        <v>6</v>
      </c>
    </row>
    <row r="8" spans="1:16" x14ac:dyDescent="0.2">
      <c r="A8" s="1" t="s">
        <v>7</v>
      </c>
      <c r="B8" s="1" t="s">
        <v>8</v>
      </c>
    </row>
    <row r="9" spans="1:16" x14ac:dyDescent="0.2">
      <c r="A9" s="1" t="s">
        <v>9</v>
      </c>
      <c r="B9" s="1" t="s">
        <v>8</v>
      </c>
    </row>
    <row r="10" spans="1:16" x14ac:dyDescent="0.2">
      <c r="A10" s="1" t="s">
        <v>10</v>
      </c>
      <c r="B10" s="1" t="s">
        <v>61</v>
      </c>
    </row>
    <row r="12" spans="1:16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12</v>
      </c>
      <c r="J12" s="3" t="s">
        <v>13</v>
      </c>
      <c r="K12" s="3" t="s">
        <v>14</v>
      </c>
      <c r="L12" s="3" t="s">
        <v>15</v>
      </c>
      <c r="M12" s="3" t="s">
        <v>16</v>
      </c>
      <c r="N12" s="3" t="s">
        <v>17</v>
      </c>
      <c r="O12" s="3" t="s">
        <v>18</v>
      </c>
      <c r="P12" s="3" t="s">
        <v>19</v>
      </c>
    </row>
    <row r="13" spans="1:16" x14ac:dyDescent="0.2">
      <c r="A13" s="3" t="s">
        <v>20</v>
      </c>
      <c r="B13" s="4" t="s">
        <v>58</v>
      </c>
      <c r="C13" s="5">
        <v>2596831</v>
      </c>
      <c r="D13" s="5">
        <v>2748676</v>
      </c>
      <c r="E13" s="5">
        <v>2766112</v>
      </c>
      <c r="F13" s="5">
        <v>2786435</v>
      </c>
      <c r="G13" s="5">
        <v>2928861</v>
      </c>
      <c r="H13" s="4" t="s">
        <v>58</v>
      </c>
      <c r="I13" s="3" t="s">
        <v>20</v>
      </c>
      <c r="J13" s="4" t="s">
        <v>58</v>
      </c>
      <c r="K13" s="5">
        <v>2347265</v>
      </c>
      <c r="L13" s="5">
        <v>2374029</v>
      </c>
      <c r="M13" s="5">
        <v>2304998</v>
      </c>
      <c r="N13" s="5">
        <v>2264392</v>
      </c>
      <c r="O13" s="5">
        <v>2216168</v>
      </c>
      <c r="P13" s="4" t="s">
        <v>58</v>
      </c>
    </row>
    <row r="14" spans="1:16" x14ac:dyDescent="0.2">
      <c r="A14" s="3" t="s">
        <v>21</v>
      </c>
      <c r="B14" s="4" t="s">
        <v>58</v>
      </c>
      <c r="C14" s="4" t="s">
        <v>58</v>
      </c>
      <c r="D14" s="5">
        <v>2971022</v>
      </c>
      <c r="E14" s="5">
        <v>3472827</v>
      </c>
      <c r="F14" s="5">
        <v>3480758</v>
      </c>
      <c r="G14" s="5">
        <v>3615777</v>
      </c>
      <c r="H14" s="4" t="s">
        <v>58</v>
      </c>
      <c r="I14" s="3" t="s">
        <v>21</v>
      </c>
      <c r="J14" s="4" t="s">
        <v>58</v>
      </c>
      <c r="K14" s="4" t="s">
        <v>58</v>
      </c>
      <c r="L14" s="5">
        <v>3502584</v>
      </c>
      <c r="M14" s="4" t="s">
        <v>58</v>
      </c>
      <c r="N14" s="5">
        <v>3458968</v>
      </c>
      <c r="O14" s="5">
        <v>3503342</v>
      </c>
      <c r="P14" s="4" t="s">
        <v>58</v>
      </c>
    </row>
    <row r="15" spans="1:16" x14ac:dyDescent="0.2">
      <c r="A15" s="3" t="s">
        <v>22</v>
      </c>
      <c r="B15" s="4" t="s">
        <v>58</v>
      </c>
      <c r="C15" s="5">
        <v>65265</v>
      </c>
      <c r="D15" s="5">
        <v>67536</v>
      </c>
      <c r="E15" s="5">
        <v>66695</v>
      </c>
      <c r="F15" s="5">
        <v>33190</v>
      </c>
      <c r="G15" s="5">
        <v>104248</v>
      </c>
      <c r="H15" s="5">
        <v>68708</v>
      </c>
      <c r="I15" s="3" t="s">
        <v>22</v>
      </c>
      <c r="J15" s="4" t="s">
        <v>58</v>
      </c>
      <c r="K15" s="5">
        <v>43949</v>
      </c>
      <c r="L15" s="5">
        <v>38983</v>
      </c>
      <c r="M15" s="5">
        <v>38031</v>
      </c>
      <c r="N15" s="5">
        <v>19511</v>
      </c>
      <c r="O15" s="4" t="s">
        <v>58</v>
      </c>
      <c r="P15" s="5">
        <v>35811</v>
      </c>
    </row>
    <row r="16" spans="1:16" x14ac:dyDescent="0.2">
      <c r="A16" s="3" t="s">
        <v>23</v>
      </c>
      <c r="B16" s="4" t="s">
        <v>58</v>
      </c>
      <c r="C16" s="5">
        <v>29034</v>
      </c>
      <c r="D16" s="5">
        <v>30215</v>
      </c>
      <c r="E16" s="5">
        <v>30291</v>
      </c>
      <c r="F16" s="5">
        <v>30270</v>
      </c>
      <c r="G16" s="5">
        <v>29768</v>
      </c>
      <c r="H16" s="5">
        <v>38067</v>
      </c>
      <c r="I16" s="3" t="s">
        <v>23</v>
      </c>
      <c r="J16" s="4" t="s">
        <v>58</v>
      </c>
      <c r="K16" s="5">
        <v>32184</v>
      </c>
      <c r="L16" s="5">
        <v>34150</v>
      </c>
      <c r="M16" s="5">
        <v>35091</v>
      </c>
      <c r="N16" s="5">
        <v>32909</v>
      </c>
      <c r="O16" s="5">
        <v>30753</v>
      </c>
      <c r="P16" s="5">
        <v>43444</v>
      </c>
    </row>
    <row r="17" spans="1:16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25256</v>
      </c>
      <c r="F17" s="5">
        <v>25981</v>
      </c>
      <c r="G17" s="5">
        <v>25955</v>
      </c>
      <c r="H17" s="5">
        <v>25833</v>
      </c>
      <c r="I17" s="3" t="s">
        <v>24</v>
      </c>
      <c r="J17" s="4" t="s">
        <v>58</v>
      </c>
      <c r="K17" s="4" t="s">
        <v>58</v>
      </c>
      <c r="L17" s="4" t="s">
        <v>58</v>
      </c>
      <c r="M17" s="5">
        <v>63132</v>
      </c>
      <c r="N17" s="5">
        <v>62722</v>
      </c>
      <c r="O17" s="5">
        <v>62839</v>
      </c>
      <c r="P17" s="5">
        <v>63883</v>
      </c>
    </row>
    <row r="18" spans="1:16" x14ac:dyDescent="0.2">
      <c r="A18" s="3" t="s">
        <v>25</v>
      </c>
      <c r="B18" s="4" t="s">
        <v>58</v>
      </c>
      <c r="C18" s="5">
        <v>60952</v>
      </c>
      <c r="D18" s="5">
        <v>61554</v>
      </c>
      <c r="E18" s="5">
        <v>60780</v>
      </c>
      <c r="F18" s="5">
        <v>62374</v>
      </c>
      <c r="G18" s="5">
        <v>65157</v>
      </c>
      <c r="H18" s="5">
        <v>62376</v>
      </c>
      <c r="I18" s="3" t="s">
        <v>25</v>
      </c>
      <c r="J18" s="4" t="s">
        <v>58</v>
      </c>
      <c r="K18" s="5">
        <v>36396</v>
      </c>
      <c r="L18" s="5">
        <v>35960</v>
      </c>
      <c r="M18" s="5">
        <v>35877</v>
      </c>
      <c r="N18" s="5">
        <v>29047</v>
      </c>
      <c r="O18" s="5">
        <v>28530</v>
      </c>
      <c r="P18" s="5">
        <v>28869</v>
      </c>
    </row>
    <row r="19" spans="1:16" x14ac:dyDescent="0.2">
      <c r="A19" s="3" t="s">
        <v>26</v>
      </c>
      <c r="B19" s="4" t="s">
        <v>58</v>
      </c>
      <c r="C19" s="5">
        <v>507028</v>
      </c>
      <c r="D19" s="5">
        <v>539372</v>
      </c>
      <c r="E19" s="5">
        <v>520943</v>
      </c>
      <c r="F19" s="5">
        <v>519975</v>
      </c>
      <c r="G19" s="5">
        <v>550129</v>
      </c>
      <c r="H19" s="5">
        <v>468783</v>
      </c>
      <c r="I19" s="3" t="s">
        <v>26</v>
      </c>
      <c r="J19" s="4" t="s">
        <v>58</v>
      </c>
      <c r="K19" s="5">
        <v>479489</v>
      </c>
      <c r="L19" s="5">
        <v>481068</v>
      </c>
      <c r="M19" s="5">
        <v>475070</v>
      </c>
      <c r="N19" s="5">
        <v>463256</v>
      </c>
      <c r="O19" s="5">
        <v>450535</v>
      </c>
      <c r="P19" s="5">
        <v>448728</v>
      </c>
    </row>
    <row r="20" spans="1:16" x14ac:dyDescent="0.2">
      <c r="A20" s="3" t="s">
        <v>27</v>
      </c>
      <c r="B20" s="4" t="s">
        <v>58</v>
      </c>
      <c r="C20" s="5">
        <v>9273</v>
      </c>
      <c r="D20" s="5">
        <v>9003</v>
      </c>
      <c r="E20" s="5">
        <v>8552</v>
      </c>
      <c r="F20" s="5">
        <v>8740</v>
      </c>
      <c r="G20" s="5">
        <v>8675</v>
      </c>
      <c r="H20" s="5">
        <v>8821</v>
      </c>
      <c r="I20" s="3" t="s">
        <v>27</v>
      </c>
      <c r="J20" s="4" t="s">
        <v>58</v>
      </c>
      <c r="K20" s="5">
        <v>5625</v>
      </c>
      <c r="L20" s="5">
        <v>5045</v>
      </c>
      <c r="M20" s="5">
        <v>5889</v>
      </c>
      <c r="N20" s="5">
        <v>7270</v>
      </c>
      <c r="O20" s="5">
        <v>7057</v>
      </c>
      <c r="P20" s="5">
        <v>7153</v>
      </c>
    </row>
    <row r="21" spans="1:16" x14ac:dyDescent="0.2">
      <c r="A21" s="3" t="s">
        <v>28</v>
      </c>
      <c r="B21" s="4" t="s">
        <v>58</v>
      </c>
      <c r="C21" s="4" t="s">
        <v>58</v>
      </c>
      <c r="D21" s="5">
        <v>66340</v>
      </c>
      <c r="E21" s="5">
        <v>63903</v>
      </c>
      <c r="F21" s="5">
        <v>65151</v>
      </c>
      <c r="G21" s="5">
        <v>79832</v>
      </c>
      <c r="H21" s="5">
        <v>64798</v>
      </c>
      <c r="I21" s="3" t="s">
        <v>28</v>
      </c>
      <c r="J21" s="4" t="s">
        <v>58</v>
      </c>
      <c r="K21" s="4" t="s">
        <v>58</v>
      </c>
      <c r="L21" s="4" t="s">
        <v>58</v>
      </c>
      <c r="M21" s="4" t="s">
        <v>58</v>
      </c>
      <c r="N21" s="4" t="s">
        <v>58</v>
      </c>
      <c r="O21" s="4" t="s">
        <v>58</v>
      </c>
      <c r="P21" s="5">
        <v>77191</v>
      </c>
    </row>
    <row r="22" spans="1:16" x14ac:dyDescent="0.2">
      <c r="A22" s="3" t="s">
        <v>29</v>
      </c>
      <c r="B22" s="4" t="s">
        <v>58</v>
      </c>
      <c r="C22" s="5">
        <v>84963</v>
      </c>
      <c r="D22" s="5">
        <v>82974</v>
      </c>
      <c r="E22" s="5">
        <v>108843</v>
      </c>
      <c r="F22" s="5">
        <v>107146</v>
      </c>
      <c r="G22" s="5">
        <v>103719</v>
      </c>
      <c r="H22" s="5">
        <v>99041</v>
      </c>
      <c r="I22" s="3" t="s">
        <v>29</v>
      </c>
      <c r="J22" s="4" t="s">
        <v>58</v>
      </c>
      <c r="K22" s="5">
        <v>40477</v>
      </c>
      <c r="L22" s="5">
        <v>29474</v>
      </c>
      <c r="M22" s="5">
        <v>38686</v>
      </c>
      <c r="N22" s="5">
        <v>46156</v>
      </c>
      <c r="O22" s="5">
        <v>41721</v>
      </c>
      <c r="P22" s="5">
        <v>42353</v>
      </c>
    </row>
    <row r="23" spans="1:16" x14ac:dyDescent="0.2">
      <c r="A23" s="3" t="s">
        <v>30</v>
      </c>
      <c r="B23" s="4" t="s">
        <v>58</v>
      </c>
      <c r="C23" s="4" t="s">
        <v>58</v>
      </c>
      <c r="D23" s="5">
        <v>356261</v>
      </c>
      <c r="E23" s="5">
        <v>366186</v>
      </c>
      <c r="F23" s="5">
        <v>381109</v>
      </c>
      <c r="G23" s="5">
        <v>381230</v>
      </c>
      <c r="H23" s="5">
        <v>385540</v>
      </c>
      <c r="I23" s="3" t="s">
        <v>30</v>
      </c>
      <c r="J23" s="4" t="s">
        <v>58</v>
      </c>
      <c r="K23" s="4" t="s">
        <v>58</v>
      </c>
      <c r="L23" s="5">
        <v>201697</v>
      </c>
      <c r="M23" s="5">
        <v>207982</v>
      </c>
      <c r="N23" s="5">
        <v>206807</v>
      </c>
      <c r="O23" s="5">
        <v>216731</v>
      </c>
      <c r="P23" s="5">
        <v>222025</v>
      </c>
    </row>
    <row r="24" spans="1:16" x14ac:dyDescent="0.2">
      <c r="A24" s="3" t="s">
        <v>31</v>
      </c>
      <c r="B24" s="4" t="s">
        <v>58</v>
      </c>
      <c r="C24" s="5">
        <v>476981</v>
      </c>
      <c r="D24" s="5">
        <v>494091</v>
      </c>
      <c r="E24" s="5">
        <v>508831</v>
      </c>
      <c r="F24" s="5">
        <v>537590</v>
      </c>
      <c r="G24" s="5">
        <v>546021</v>
      </c>
      <c r="H24" s="5">
        <v>545584</v>
      </c>
      <c r="I24" s="3" t="s">
        <v>31</v>
      </c>
      <c r="J24" s="4" t="s">
        <v>58</v>
      </c>
      <c r="K24" s="5">
        <v>325141</v>
      </c>
      <c r="L24" s="5">
        <v>314323</v>
      </c>
      <c r="M24" s="5">
        <v>313299</v>
      </c>
      <c r="N24" s="5">
        <v>314651</v>
      </c>
      <c r="O24" s="5">
        <v>314538</v>
      </c>
      <c r="P24" s="5">
        <v>307849</v>
      </c>
    </row>
    <row r="25" spans="1:16" x14ac:dyDescent="0.2">
      <c r="A25" s="3" t="s">
        <v>32</v>
      </c>
      <c r="B25" s="4" t="s">
        <v>58</v>
      </c>
      <c r="C25" s="5">
        <v>13660</v>
      </c>
      <c r="D25" s="5">
        <v>13444</v>
      </c>
      <c r="E25" s="5">
        <v>13275</v>
      </c>
      <c r="F25" s="5">
        <v>12627</v>
      </c>
      <c r="G25" s="5">
        <v>12242</v>
      </c>
      <c r="H25" s="5">
        <v>11853</v>
      </c>
      <c r="I25" s="3" t="s">
        <v>32</v>
      </c>
      <c r="J25" s="4" t="s">
        <v>58</v>
      </c>
      <c r="K25" s="5">
        <v>36830</v>
      </c>
      <c r="L25" s="5">
        <v>33936</v>
      </c>
      <c r="M25" s="5">
        <v>31654</v>
      </c>
      <c r="N25" s="5">
        <v>32040</v>
      </c>
      <c r="O25" s="5">
        <v>29787</v>
      </c>
      <c r="P25" s="5">
        <v>28589</v>
      </c>
    </row>
    <row r="26" spans="1:16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5">
        <v>277314</v>
      </c>
      <c r="F26" s="5">
        <v>287302</v>
      </c>
      <c r="G26" s="5">
        <v>288439</v>
      </c>
      <c r="H26" s="5">
        <v>300422</v>
      </c>
      <c r="I26" s="3" t="s">
        <v>33</v>
      </c>
      <c r="J26" s="4" t="s">
        <v>58</v>
      </c>
      <c r="K26" s="4" t="s">
        <v>58</v>
      </c>
      <c r="L26" s="4" t="s">
        <v>58</v>
      </c>
      <c r="M26" s="5">
        <v>343622</v>
      </c>
      <c r="N26" s="5">
        <v>336484</v>
      </c>
      <c r="O26" s="5">
        <v>323218</v>
      </c>
      <c r="P26" s="5">
        <v>334383</v>
      </c>
    </row>
    <row r="27" spans="1:16" x14ac:dyDescent="0.2">
      <c r="A27" s="3" t="s">
        <v>34</v>
      </c>
      <c r="B27" s="4" t="s">
        <v>58</v>
      </c>
      <c r="C27" s="5">
        <v>8684</v>
      </c>
      <c r="D27" s="5">
        <v>7999</v>
      </c>
      <c r="E27" s="5">
        <v>8038</v>
      </c>
      <c r="F27" s="5">
        <v>7788</v>
      </c>
      <c r="G27" s="5">
        <v>7602</v>
      </c>
      <c r="H27" s="5">
        <v>7355</v>
      </c>
      <c r="I27" s="3" t="s">
        <v>34</v>
      </c>
      <c r="J27" s="4" t="s">
        <v>58</v>
      </c>
      <c r="K27" s="5">
        <v>1521</v>
      </c>
      <c r="L27" s="5">
        <v>1647</v>
      </c>
      <c r="M27" s="5">
        <v>1522</v>
      </c>
      <c r="N27" s="5">
        <v>1727</v>
      </c>
      <c r="O27" s="5">
        <v>1661</v>
      </c>
      <c r="P27" s="5">
        <v>1572</v>
      </c>
    </row>
    <row r="28" spans="1:16" x14ac:dyDescent="0.2">
      <c r="A28" s="3" t="s">
        <v>35</v>
      </c>
      <c r="B28" s="4" t="s">
        <v>58</v>
      </c>
      <c r="C28" s="5">
        <v>13931</v>
      </c>
      <c r="D28" s="5">
        <v>13504</v>
      </c>
      <c r="E28" s="5">
        <v>12585</v>
      </c>
      <c r="F28" s="5">
        <v>12917</v>
      </c>
      <c r="G28" s="5">
        <v>13188</v>
      </c>
      <c r="H28" s="5">
        <v>12507</v>
      </c>
      <c r="I28" s="3" t="s">
        <v>35</v>
      </c>
      <c r="J28" s="4" t="s">
        <v>58</v>
      </c>
      <c r="K28" s="5">
        <v>8400</v>
      </c>
      <c r="L28" s="5">
        <v>8370</v>
      </c>
      <c r="M28" s="5">
        <v>8389</v>
      </c>
      <c r="N28" s="5">
        <v>7873</v>
      </c>
      <c r="O28" s="5">
        <v>8923</v>
      </c>
      <c r="P28" s="5">
        <v>8605</v>
      </c>
    </row>
    <row r="29" spans="1:16" x14ac:dyDescent="0.2">
      <c r="A29" s="3" t="s">
        <v>36</v>
      </c>
      <c r="B29" s="4" t="s">
        <v>58</v>
      </c>
      <c r="C29" s="5">
        <v>32247</v>
      </c>
      <c r="D29" s="5">
        <v>30791</v>
      </c>
      <c r="E29" s="5">
        <v>27552</v>
      </c>
      <c r="F29" s="5">
        <v>26593</v>
      </c>
      <c r="G29" s="5">
        <v>26009</v>
      </c>
      <c r="H29" s="5">
        <v>23911</v>
      </c>
      <c r="I29" s="3" t="s">
        <v>36</v>
      </c>
      <c r="J29" s="4" t="s">
        <v>58</v>
      </c>
      <c r="K29" s="5">
        <v>8081</v>
      </c>
      <c r="L29" s="5">
        <v>7976</v>
      </c>
      <c r="M29" s="5">
        <v>7555</v>
      </c>
      <c r="N29" s="5">
        <v>7217</v>
      </c>
      <c r="O29" s="5">
        <v>7331</v>
      </c>
      <c r="P29" s="5">
        <v>6175</v>
      </c>
    </row>
    <row r="30" spans="1:16" x14ac:dyDescent="0.2">
      <c r="A30" s="3" t="s">
        <v>37</v>
      </c>
      <c r="B30" s="4" t="s">
        <v>58</v>
      </c>
      <c r="C30" s="4" t="s">
        <v>58</v>
      </c>
      <c r="D30" s="5">
        <v>2479</v>
      </c>
      <c r="E30" s="5">
        <v>2530</v>
      </c>
      <c r="F30" s="5">
        <v>2478</v>
      </c>
      <c r="G30" s="5">
        <v>2636</v>
      </c>
      <c r="H30" s="5">
        <v>2483</v>
      </c>
      <c r="I30" s="3" t="s">
        <v>37</v>
      </c>
      <c r="J30" s="4" t="s">
        <v>58</v>
      </c>
      <c r="K30" s="4" t="s">
        <v>58</v>
      </c>
      <c r="L30" s="5">
        <v>3776</v>
      </c>
      <c r="M30" s="5">
        <v>3956</v>
      </c>
      <c r="N30" s="5">
        <v>3977</v>
      </c>
      <c r="O30" s="5">
        <v>3993</v>
      </c>
      <c r="P30" s="5">
        <v>3992</v>
      </c>
    </row>
    <row r="31" spans="1:16" x14ac:dyDescent="0.2">
      <c r="A31" s="3" t="s">
        <v>38</v>
      </c>
      <c r="B31" s="4" t="s">
        <v>58</v>
      </c>
      <c r="C31" s="5">
        <v>75996</v>
      </c>
      <c r="D31" s="5">
        <v>81627</v>
      </c>
      <c r="E31" s="5">
        <v>81803</v>
      </c>
      <c r="F31" s="5">
        <v>83530</v>
      </c>
      <c r="G31" s="5">
        <v>90933</v>
      </c>
      <c r="H31" s="5">
        <v>51249</v>
      </c>
      <c r="I31" s="3" t="s">
        <v>38</v>
      </c>
      <c r="J31" s="4" t="s">
        <v>58</v>
      </c>
      <c r="K31" s="5">
        <v>29921</v>
      </c>
      <c r="L31" s="5">
        <v>29628</v>
      </c>
      <c r="M31" s="5">
        <v>27944</v>
      </c>
      <c r="N31" s="5">
        <v>29954</v>
      </c>
      <c r="O31" s="5">
        <v>29865</v>
      </c>
      <c r="P31" s="5">
        <v>61442</v>
      </c>
    </row>
    <row r="32" spans="1:16" x14ac:dyDescent="0.2">
      <c r="A32" s="3" t="s">
        <v>39</v>
      </c>
      <c r="B32" s="4" t="s">
        <v>58</v>
      </c>
      <c r="C32" s="5">
        <v>7314</v>
      </c>
      <c r="D32" s="5">
        <v>7007</v>
      </c>
      <c r="E32" s="5">
        <v>6981</v>
      </c>
      <c r="F32" s="5">
        <v>6456</v>
      </c>
      <c r="G32" s="5">
        <v>6527</v>
      </c>
      <c r="H32" s="5">
        <v>6784</v>
      </c>
      <c r="I32" s="3" t="s">
        <v>39</v>
      </c>
      <c r="J32" s="4" t="s">
        <v>58</v>
      </c>
      <c r="K32" s="5">
        <v>3094</v>
      </c>
      <c r="L32" s="5">
        <v>3415</v>
      </c>
      <c r="M32" s="5">
        <v>3539</v>
      </c>
      <c r="N32" s="5">
        <v>3807</v>
      </c>
      <c r="O32" s="5">
        <v>3325</v>
      </c>
      <c r="P32" s="5">
        <v>3414</v>
      </c>
    </row>
    <row r="33" spans="1:16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5">
        <v>94849</v>
      </c>
      <c r="F33" s="5">
        <v>97338</v>
      </c>
      <c r="G33" s="5">
        <v>98944</v>
      </c>
      <c r="H33" s="5">
        <v>98666</v>
      </c>
      <c r="I33" s="3" t="s">
        <v>40</v>
      </c>
      <c r="J33" s="4" t="s">
        <v>58</v>
      </c>
      <c r="K33" s="4" t="s">
        <v>58</v>
      </c>
      <c r="L33" s="4" t="s">
        <v>58</v>
      </c>
      <c r="M33" s="5">
        <v>113317</v>
      </c>
      <c r="N33" s="5">
        <v>114158</v>
      </c>
      <c r="O33" s="5">
        <v>117579</v>
      </c>
      <c r="P33" s="5">
        <v>117892</v>
      </c>
    </row>
    <row r="34" spans="1:16" x14ac:dyDescent="0.2">
      <c r="A34" s="3" t="s">
        <v>41</v>
      </c>
      <c r="B34" s="4" t="s">
        <v>58</v>
      </c>
      <c r="C34" s="5">
        <v>41484</v>
      </c>
      <c r="D34" s="5">
        <v>40378</v>
      </c>
      <c r="E34" s="5">
        <v>40033</v>
      </c>
      <c r="F34" s="5">
        <v>40729</v>
      </c>
      <c r="G34" s="5">
        <v>40422</v>
      </c>
      <c r="H34" s="5">
        <v>40386</v>
      </c>
      <c r="I34" s="3" t="s">
        <v>41</v>
      </c>
      <c r="J34" s="4" t="s">
        <v>58</v>
      </c>
      <c r="K34" s="5">
        <v>73180</v>
      </c>
      <c r="L34" s="5">
        <v>69404</v>
      </c>
      <c r="M34" s="5">
        <v>68524</v>
      </c>
      <c r="N34" s="5">
        <v>66328</v>
      </c>
      <c r="O34" s="5">
        <v>66646</v>
      </c>
      <c r="P34" s="5">
        <v>67177</v>
      </c>
    </row>
    <row r="35" spans="1:16" x14ac:dyDescent="0.2">
      <c r="A35" s="3" t="s">
        <v>42</v>
      </c>
      <c r="B35" s="4" t="s">
        <v>58</v>
      </c>
      <c r="C35" s="4" t="s">
        <v>58</v>
      </c>
      <c r="D35" s="5">
        <v>178175</v>
      </c>
      <c r="E35" s="5">
        <v>167720</v>
      </c>
      <c r="F35" s="5">
        <v>159086</v>
      </c>
      <c r="G35" s="5">
        <v>153473</v>
      </c>
      <c r="H35" s="5">
        <v>152217</v>
      </c>
      <c r="I35" s="3" t="s">
        <v>42</v>
      </c>
      <c r="J35" s="4" t="s">
        <v>58</v>
      </c>
      <c r="K35" s="4" t="s">
        <v>58</v>
      </c>
      <c r="L35" s="5">
        <v>194272</v>
      </c>
      <c r="M35" s="5">
        <v>182572</v>
      </c>
      <c r="N35" s="5">
        <v>179104</v>
      </c>
      <c r="O35" s="5">
        <v>177793</v>
      </c>
      <c r="P35" s="5">
        <v>167761</v>
      </c>
    </row>
    <row r="36" spans="1:16" x14ac:dyDescent="0.2">
      <c r="A36" s="3" t="s">
        <v>43</v>
      </c>
      <c r="B36" s="4" t="s">
        <v>58</v>
      </c>
      <c r="C36" s="4" t="s">
        <v>58</v>
      </c>
      <c r="D36" s="5">
        <v>67034</v>
      </c>
      <c r="E36" s="5">
        <v>66020</v>
      </c>
      <c r="F36" s="5">
        <v>67992</v>
      </c>
      <c r="G36" s="5">
        <v>66132</v>
      </c>
      <c r="H36" s="5">
        <v>66254</v>
      </c>
      <c r="I36" s="3" t="s">
        <v>43</v>
      </c>
      <c r="J36" s="4" t="s">
        <v>58</v>
      </c>
      <c r="K36" s="4" t="s">
        <v>58</v>
      </c>
      <c r="L36" s="5">
        <v>52622</v>
      </c>
      <c r="M36" s="5">
        <v>37246</v>
      </c>
      <c r="N36" s="5">
        <v>41629</v>
      </c>
      <c r="O36" s="5">
        <v>40015</v>
      </c>
      <c r="P36" s="5">
        <v>38616</v>
      </c>
    </row>
    <row r="37" spans="1:16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5">
        <v>79359</v>
      </c>
      <c r="F37" s="5">
        <v>78745</v>
      </c>
      <c r="G37" s="5">
        <v>76851</v>
      </c>
      <c r="H37" s="5">
        <v>75935</v>
      </c>
      <c r="I37" s="3" t="s">
        <v>44</v>
      </c>
      <c r="J37" s="4" t="s">
        <v>58</v>
      </c>
      <c r="K37" s="4" t="s">
        <v>58</v>
      </c>
      <c r="L37" s="4" t="s">
        <v>58</v>
      </c>
      <c r="M37" s="5">
        <v>116708</v>
      </c>
      <c r="N37" s="5">
        <v>111707</v>
      </c>
      <c r="O37" s="5">
        <v>105847</v>
      </c>
      <c r="P37" s="5">
        <v>101431</v>
      </c>
    </row>
    <row r="38" spans="1:16" x14ac:dyDescent="0.2">
      <c r="A38" s="3" t="s">
        <v>45</v>
      </c>
      <c r="B38" s="4" t="s">
        <v>58</v>
      </c>
      <c r="C38" s="4" t="s">
        <v>58</v>
      </c>
      <c r="D38" s="5">
        <v>13233</v>
      </c>
      <c r="E38" s="5">
        <v>7177</v>
      </c>
      <c r="F38" s="5">
        <v>6783</v>
      </c>
      <c r="G38" s="5">
        <v>6794</v>
      </c>
      <c r="H38" s="5">
        <v>6832</v>
      </c>
      <c r="I38" s="3" t="s">
        <v>45</v>
      </c>
      <c r="J38" s="4" t="s">
        <v>58</v>
      </c>
      <c r="K38" s="4" t="s">
        <v>58</v>
      </c>
      <c r="L38" s="5">
        <v>19569</v>
      </c>
      <c r="M38" s="5">
        <v>20475</v>
      </c>
      <c r="N38" s="5">
        <v>23616</v>
      </c>
      <c r="O38" s="5">
        <v>21378</v>
      </c>
      <c r="P38" s="5">
        <v>20961</v>
      </c>
    </row>
    <row r="39" spans="1:16" x14ac:dyDescent="0.2">
      <c r="A39" s="3" t="s">
        <v>46</v>
      </c>
      <c r="B39" s="4" t="s">
        <v>58</v>
      </c>
      <c r="C39" s="5">
        <v>16514</v>
      </c>
      <c r="D39" s="5">
        <v>12736</v>
      </c>
      <c r="E39" s="5">
        <v>15306</v>
      </c>
      <c r="F39" s="5">
        <v>15169</v>
      </c>
      <c r="G39" s="5">
        <v>14595</v>
      </c>
      <c r="H39" s="5">
        <v>14026</v>
      </c>
      <c r="I39" s="3" t="s">
        <v>46</v>
      </c>
      <c r="J39" s="4" t="s">
        <v>58</v>
      </c>
      <c r="K39" s="5">
        <v>39112</v>
      </c>
      <c r="L39" s="5">
        <v>37876</v>
      </c>
      <c r="M39" s="5">
        <v>37354</v>
      </c>
      <c r="N39" s="5">
        <v>36443</v>
      </c>
      <c r="O39" s="5">
        <v>34643</v>
      </c>
      <c r="P39" s="5">
        <v>33442</v>
      </c>
    </row>
    <row r="40" spans="1:16" x14ac:dyDescent="0.2">
      <c r="A40" s="3" t="s">
        <v>47</v>
      </c>
      <c r="B40" s="4" t="s">
        <v>58</v>
      </c>
      <c r="C40" s="5">
        <v>33314</v>
      </c>
      <c r="D40" s="5">
        <v>34166</v>
      </c>
      <c r="E40" s="5">
        <v>32450</v>
      </c>
      <c r="F40" s="5">
        <v>33055</v>
      </c>
      <c r="G40" s="5">
        <v>33403</v>
      </c>
      <c r="H40" s="5">
        <v>33961</v>
      </c>
      <c r="I40" s="3" t="s">
        <v>47</v>
      </c>
      <c r="J40" s="4" t="s">
        <v>58</v>
      </c>
      <c r="K40" s="5">
        <v>50831</v>
      </c>
      <c r="L40" s="5">
        <v>48447</v>
      </c>
      <c r="M40" s="5">
        <v>49883</v>
      </c>
      <c r="N40" s="5">
        <v>49271</v>
      </c>
      <c r="O40" s="5">
        <v>52534</v>
      </c>
      <c r="P40" s="5">
        <v>54417</v>
      </c>
    </row>
    <row r="41" spans="1:16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72840</v>
      </c>
      <c r="F41" s="5">
        <v>76322</v>
      </c>
      <c r="G41" s="5">
        <v>95446</v>
      </c>
      <c r="H41" s="5">
        <v>92092</v>
      </c>
      <c r="I41" s="3" t="s">
        <v>48</v>
      </c>
      <c r="J41" s="4" t="s">
        <v>58</v>
      </c>
      <c r="K41" s="4" t="s">
        <v>58</v>
      </c>
      <c r="L41" s="4" t="s">
        <v>58</v>
      </c>
      <c r="M41" s="5">
        <v>37681</v>
      </c>
      <c r="N41" s="5">
        <v>36728</v>
      </c>
      <c r="O41" s="5">
        <v>37877</v>
      </c>
      <c r="P41" s="5">
        <v>39824</v>
      </c>
    </row>
    <row r="42" spans="1:16" x14ac:dyDescent="0.2">
      <c r="A42" s="3" t="s">
        <v>49</v>
      </c>
      <c r="B42" s="4" t="s">
        <v>58</v>
      </c>
      <c r="C42" s="4" t="s">
        <v>58</v>
      </c>
      <c r="D42" s="5">
        <v>222346</v>
      </c>
      <c r="E42" s="5">
        <v>706715</v>
      </c>
      <c r="F42" s="5">
        <v>694323</v>
      </c>
      <c r="G42" s="5">
        <v>686916</v>
      </c>
      <c r="H42" s="5">
        <v>708045</v>
      </c>
      <c r="I42" s="3" t="s">
        <v>49</v>
      </c>
      <c r="J42" s="4" t="s">
        <v>58</v>
      </c>
      <c r="K42" s="4" t="s">
        <v>58</v>
      </c>
      <c r="L42" s="5">
        <v>1128555</v>
      </c>
      <c r="M42" s="4" t="s">
        <v>58</v>
      </c>
      <c r="N42" s="5">
        <v>1194576</v>
      </c>
      <c r="O42" s="5">
        <v>1287174</v>
      </c>
      <c r="P42" s="5">
        <v>1082428</v>
      </c>
    </row>
    <row r="43" spans="1:16" x14ac:dyDescent="0.2">
      <c r="A43" s="3" t="s">
        <v>50</v>
      </c>
      <c r="B43" s="4" t="s">
        <v>58</v>
      </c>
      <c r="C43" s="5">
        <v>4595</v>
      </c>
      <c r="D43" s="5">
        <v>4364</v>
      </c>
      <c r="E43" s="5">
        <v>4115</v>
      </c>
      <c r="F43" s="5">
        <v>4235</v>
      </c>
      <c r="G43" s="5">
        <v>4437</v>
      </c>
      <c r="H43" s="5">
        <v>4270</v>
      </c>
      <c r="I43" s="3" t="s">
        <v>50</v>
      </c>
      <c r="J43" s="4" t="s">
        <v>58</v>
      </c>
      <c r="K43" s="5">
        <v>2329</v>
      </c>
      <c r="L43" s="5">
        <v>2320</v>
      </c>
      <c r="M43" s="5">
        <v>2437</v>
      </c>
      <c r="N43" s="5">
        <v>2042</v>
      </c>
      <c r="O43" s="5">
        <v>1848</v>
      </c>
      <c r="P43" s="5">
        <v>1833</v>
      </c>
    </row>
    <row r="44" spans="1:16" x14ac:dyDescent="0.2">
      <c r="A44" s="3" t="s">
        <v>51</v>
      </c>
      <c r="B44" s="4" t="s">
        <v>58</v>
      </c>
      <c r="C44" s="5">
        <v>287</v>
      </c>
      <c r="D44" s="5">
        <v>163</v>
      </c>
      <c r="E44" s="5">
        <v>196</v>
      </c>
      <c r="F44" s="5">
        <v>185</v>
      </c>
      <c r="G44" s="4" t="s">
        <v>58</v>
      </c>
      <c r="H44" s="5">
        <v>175</v>
      </c>
      <c r="I44" s="3" t="s">
        <v>51</v>
      </c>
      <c r="J44" s="4" t="s">
        <v>58</v>
      </c>
      <c r="K44" s="5">
        <v>389</v>
      </c>
      <c r="L44" s="5">
        <v>357</v>
      </c>
      <c r="M44" s="5">
        <v>349</v>
      </c>
      <c r="N44" s="5">
        <v>323</v>
      </c>
      <c r="O44" s="4" t="s">
        <v>58</v>
      </c>
      <c r="P44" s="5">
        <v>256</v>
      </c>
    </row>
    <row r="45" spans="1:16" x14ac:dyDescent="0.2">
      <c r="A45" s="3" t="s">
        <v>52</v>
      </c>
      <c r="B45" s="4" t="s">
        <v>58</v>
      </c>
      <c r="C45" s="4" t="s">
        <v>58</v>
      </c>
      <c r="D45" s="5">
        <v>35349</v>
      </c>
      <c r="E45" s="5">
        <v>35337</v>
      </c>
      <c r="F45" s="5">
        <v>35528</v>
      </c>
      <c r="G45" s="5">
        <v>38240</v>
      </c>
      <c r="H45" s="5">
        <v>36924</v>
      </c>
      <c r="I45" s="3" t="s">
        <v>52</v>
      </c>
      <c r="J45" s="4" t="s">
        <v>58</v>
      </c>
      <c r="K45" s="4" t="s">
        <v>58</v>
      </c>
      <c r="L45" s="5">
        <v>31983</v>
      </c>
      <c r="M45" s="5">
        <v>30744</v>
      </c>
      <c r="N45" s="5">
        <v>31725</v>
      </c>
      <c r="O45" s="5">
        <v>29316</v>
      </c>
      <c r="P45" s="5">
        <v>29499</v>
      </c>
    </row>
    <row r="46" spans="1:16" x14ac:dyDescent="0.2">
      <c r="A46" s="3" t="s">
        <v>53</v>
      </c>
      <c r="B46" s="4" t="s">
        <v>58</v>
      </c>
      <c r="C46" s="5">
        <v>49238</v>
      </c>
      <c r="D46" s="5">
        <v>48755</v>
      </c>
      <c r="E46" s="5">
        <v>49848</v>
      </c>
      <c r="F46" s="5">
        <v>49664</v>
      </c>
      <c r="G46" s="5">
        <v>50781</v>
      </c>
      <c r="H46" s="5">
        <v>50458</v>
      </c>
      <c r="I46" s="3" t="s">
        <v>53</v>
      </c>
      <c r="J46" s="4" t="s">
        <v>58</v>
      </c>
      <c r="K46" s="5">
        <v>70302</v>
      </c>
      <c r="L46" s="5">
        <v>67850</v>
      </c>
      <c r="M46" s="5">
        <v>66177</v>
      </c>
      <c r="N46" s="5">
        <v>63889</v>
      </c>
      <c r="O46" s="5">
        <v>63480</v>
      </c>
      <c r="P46" s="5">
        <v>61944</v>
      </c>
    </row>
    <row r="47" spans="1:16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5">
        <v>7680</v>
      </c>
      <c r="I47" s="3" t="s">
        <v>54</v>
      </c>
      <c r="J47" s="4" t="s">
        <v>58</v>
      </c>
      <c r="K47" s="4" t="s">
        <v>58</v>
      </c>
      <c r="L47" s="4" t="s">
        <v>58</v>
      </c>
      <c r="M47" s="4" t="s">
        <v>58</v>
      </c>
      <c r="N47" s="4" t="s">
        <v>58</v>
      </c>
      <c r="O47" s="4" t="s">
        <v>58</v>
      </c>
      <c r="P47" s="4" t="s">
        <v>58</v>
      </c>
    </row>
    <row r="48" spans="1:16" x14ac:dyDescent="0.2">
      <c r="A48" s="3" t="s">
        <v>55</v>
      </c>
      <c r="B48" s="4" t="s">
        <v>58</v>
      </c>
      <c r="C48" s="4" t="s">
        <v>58</v>
      </c>
      <c r="D48" s="4" t="s">
        <v>58</v>
      </c>
      <c r="E48" s="4" t="s">
        <v>58</v>
      </c>
      <c r="F48" s="4" t="s">
        <v>58</v>
      </c>
      <c r="G48" s="4" t="s">
        <v>58</v>
      </c>
      <c r="H48" s="4" t="s">
        <v>58</v>
      </c>
      <c r="I48" s="3" t="s">
        <v>55</v>
      </c>
      <c r="J48" s="4" t="s">
        <v>58</v>
      </c>
      <c r="K48" s="4" t="s">
        <v>58</v>
      </c>
      <c r="L48" s="4" t="s">
        <v>58</v>
      </c>
      <c r="M48" s="4" t="s">
        <v>58</v>
      </c>
      <c r="N48" s="4" t="s">
        <v>58</v>
      </c>
      <c r="O48" s="4" t="s">
        <v>58</v>
      </c>
      <c r="P48" s="4" t="s">
        <v>58</v>
      </c>
    </row>
    <row r="49" spans="1:16" x14ac:dyDescent="0.2">
      <c r="A49" s="3" t="s">
        <v>56</v>
      </c>
      <c r="B49" s="4" t="s">
        <v>58</v>
      </c>
      <c r="C49" s="5">
        <v>67962</v>
      </c>
      <c r="D49" s="5">
        <v>66825</v>
      </c>
      <c r="E49" s="5">
        <v>65438</v>
      </c>
      <c r="F49" s="5">
        <v>64766</v>
      </c>
      <c r="G49" s="5">
        <v>64395</v>
      </c>
      <c r="H49" s="5">
        <v>65226</v>
      </c>
      <c r="I49" s="3" t="s">
        <v>56</v>
      </c>
      <c r="J49" s="4" t="s">
        <v>58</v>
      </c>
      <c r="K49" s="5">
        <v>213172</v>
      </c>
      <c r="L49" s="5">
        <v>202858</v>
      </c>
      <c r="M49" s="5">
        <v>194998</v>
      </c>
      <c r="N49" s="5">
        <v>188410</v>
      </c>
      <c r="O49" s="5">
        <v>185384</v>
      </c>
      <c r="P49" s="5">
        <v>183678</v>
      </c>
    </row>
    <row r="50" spans="1:16" x14ac:dyDescent="0.2">
      <c r="A50" s="3" t="s">
        <v>57</v>
      </c>
      <c r="B50" s="4" t="s">
        <v>58</v>
      </c>
      <c r="C50" s="5">
        <v>707624</v>
      </c>
      <c r="D50" s="5">
        <v>800115</v>
      </c>
      <c r="E50" s="5">
        <v>386045</v>
      </c>
      <c r="F50" s="5">
        <v>812555</v>
      </c>
      <c r="G50" s="5">
        <v>768031</v>
      </c>
      <c r="H50" s="5">
        <v>711923</v>
      </c>
      <c r="I50" s="3" t="s">
        <v>57</v>
      </c>
      <c r="J50" s="4" t="s">
        <v>58</v>
      </c>
      <c r="K50" s="5">
        <v>731638</v>
      </c>
      <c r="L50" s="5">
        <v>826117</v>
      </c>
      <c r="M50" s="5">
        <v>1230470</v>
      </c>
      <c r="N50" s="5">
        <v>686384</v>
      </c>
      <c r="O50" s="5">
        <v>622282</v>
      </c>
      <c r="P50" s="5">
        <v>641367</v>
      </c>
    </row>
    <row r="52" spans="1:16" x14ac:dyDescent="0.2">
      <c r="A52" s="1" t="s">
        <v>59</v>
      </c>
    </row>
    <row r="53" spans="1:16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zoomScaleNormal="100" workbookViewId="0">
      <selection activeCell="K19" sqref="K19"/>
    </sheetView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44002.107865983795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11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5">
        <v>4340715</v>
      </c>
      <c r="D13" s="5">
        <v>4789208</v>
      </c>
      <c r="E13" s="5">
        <v>4647376</v>
      </c>
      <c r="F13" s="5">
        <v>4646310</v>
      </c>
      <c r="G13" s="5">
        <v>4688827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5">
        <v>6140109</v>
      </c>
      <c r="E14" s="5">
        <v>5354091</v>
      </c>
      <c r="F14" s="5">
        <v>5340633</v>
      </c>
      <c r="G14" s="5">
        <v>5844537</v>
      </c>
      <c r="H14" s="4" t="s">
        <v>58</v>
      </c>
    </row>
    <row r="15" spans="1:8" x14ac:dyDescent="0.2">
      <c r="A15" s="3" t="s">
        <v>22</v>
      </c>
      <c r="B15" s="4" t="s">
        <v>58</v>
      </c>
      <c r="C15" s="4" t="s">
        <v>58</v>
      </c>
      <c r="D15" s="4" t="s">
        <v>58</v>
      </c>
      <c r="E15" s="5">
        <v>104726</v>
      </c>
      <c r="F15" s="5">
        <v>104880</v>
      </c>
      <c r="G15" s="5">
        <v>104248</v>
      </c>
      <c r="H15" s="5">
        <v>87957</v>
      </c>
    </row>
    <row r="16" spans="1:8" x14ac:dyDescent="0.2">
      <c r="A16" s="3" t="s">
        <v>23</v>
      </c>
      <c r="B16" s="4" t="s">
        <v>58</v>
      </c>
      <c r="C16" s="5">
        <v>61218</v>
      </c>
      <c r="D16" s="5">
        <v>64365</v>
      </c>
      <c r="E16" s="5">
        <v>65382</v>
      </c>
      <c r="F16" s="5">
        <v>62064</v>
      </c>
      <c r="G16" s="5">
        <v>59454</v>
      </c>
      <c r="H16" s="5">
        <v>80883</v>
      </c>
    </row>
    <row r="17" spans="1:8" x14ac:dyDescent="0.2">
      <c r="A17" s="3" t="s">
        <v>24</v>
      </c>
      <c r="B17" s="4" t="s">
        <v>58</v>
      </c>
      <c r="C17" s="5">
        <v>89557</v>
      </c>
      <c r="D17" s="5">
        <v>88606</v>
      </c>
      <c r="E17" s="5">
        <v>88388</v>
      </c>
      <c r="F17" s="5">
        <v>88703</v>
      </c>
      <c r="G17" s="5">
        <v>88794</v>
      </c>
      <c r="H17" s="5">
        <v>89716</v>
      </c>
    </row>
    <row r="18" spans="1:8" x14ac:dyDescent="0.2">
      <c r="A18" s="3" t="s">
        <v>25</v>
      </c>
      <c r="B18" s="4" t="s">
        <v>58</v>
      </c>
      <c r="C18" s="5">
        <v>74026</v>
      </c>
      <c r="D18" s="5">
        <v>73457</v>
      </c>
      <c r="E18" s="5">
        <v>71219</v>
      </c>
      <c r="F18" s="5">
        <v>67650</v>
      </c>
      <c r="G18" s="5">
        <v>71266</v>
      </c>
      <c r="H18" s="5">
        <v>69408</v>
      </c>
    </row>
    <row r="19" spans="1:8" x14ac:dyDescent="0.2">
      <c r="A19" s="3" t="s">
        <v>26</v>
      </c>
      <c r="B19" s="5">
        <v>903216</v>
      </c>
      <c r="C19" s="5">
        <v>986516</v>
      </c>
      <c r="D19" s="5">
        <v>1020441</v>
      </c>
      <c r="E19" s="5">
        <v>996013</v>
      </c>
      <c r="F19" s="5">
        <v>983230</v>
      </c>
      <c r="G19" s="5">
        <v>1000664</v>
      </c>
      <c r="H19" s="5">
        <v>917511</v>
      </c>
    </row>
    <row r="20" spans="1:8" x14ac:dyDescent="0.2">
      <c r="A20" s="3" t="s">
        <v>27</v>
      </c>
      <c r="B20" s="4" t="s">
        <v>58</v>
      </c>
      <c r="C20" s="5">
        <v>15414</v>
      </c>
      <c r="D20" s="5">
        <v>14048</v>
      </c>
      <c r="E20" s="5">
        <v>14441</v>
      </c>
      <c r="F20" s="5">
        <v>16010</v>
      </c>
      <c r="G20" s="5">
        <v>13455</v>
      </c>
      <c r="H20" s="5">
        <v>13601</v>
      </c>
    </row>
    <row r="21" spans="1:8" x14ac:dyDescent="0.2">
      <c r="A21" s="3" t="s">
        <v>28</v>
      </c>
      <c r="B21" s="4" t="s">
        <v>58</v>
      </c>
      <c r="C21" s="5">
        <v>62960</v>
      </c>
      <c r="D21" s="5">
        <v>66340</v>
      </c>
      <c r="E21" s="5">
        <v>63903</v>
      </c>
      <c r="F21" s="5">
        <v>65151</v>
      </c>
      <c r="G21" s="5">
        <v>79832</v>
      </c>
      <c r="H21" s="5">
        <v>141989</v>
      </c>
    </row>
    <row r="22" spans="1:8" x14ac:dyDescent="0.2">
      <c r="A22" s="3" t="s">
        <v>29</v>
      </c>
      <c r="B22" s="4" t="s">
        <v>58</v>
      </c>
      <c r="C22" s="5">
        <v>125448</v>
      </c>
      <c r="D22" s="5">
        <v>112448</v>
      </c>
      <c r="E22" s="5">
        <v>114831</v>
      </c>
      <c r="F22" s="5">
        <v>113165</v>
      </c>
      <c r="G22" s="5">
        <v>109233</v>
      </c>
      <c r="H22" s="5">
        <v>104415</v>
      </c>
    </row>
    <row r="23" spans="1:8" x14ac:dyDescent="0.2">
      <c r="A23" s="3" t="s">
        <v>30</v>
      </c>
      <c r="B23" s="4" t="s">
        <v>58</v>
      </c>
      <c r="C23" s="5">
        <v>389036</v>
      </c>
      <c r="D23" s="5">
        <v>397101</v>
      </c>
      <c r="E23" s="5">
        <v>371030</v>
      </c>
      <c r="F23" s="5">
        <v>381183</v>
      </c>
      <c r="G23" s="5">
        <v>381237</v>
      </c>
      <c r="H23" s="5">
        <v>388263</v>
      </c>
    </row>
    <row r="24" spans="1:8" x14ac:dyDescent="0.2">
      <c r="A24" s="3" t="s">
        <v>31</v>
      </c>
      <c r="B24" s="4" t="s">
        <v>58</v>
      </c>
      <c r="C24" s="5">
        <v>774098</v>
      </c>
      <c r="D24" s="5">
        <v>781076</v>
      </c>
      <c r="E24" s="5">
        <v>794668</v>
      </c>
      <c r="F24" s="5">
        <v>825806</v>
      </c>
      <c r="G24" s="5">
        <v>833551</v>
      </c>
      <c r="H24" s="5">
        <v>827369</v>
      </c>
    </row>
    <row r="25" spans="1:8" x14ac:dyDescent="0.2">
      <c r="A25" s="3" t="s">
        <v>32</v>
      </c>
      <c r="B25" s="4" t="s">
        <v>58</v>
      </c>
      <c r="C25" s="5">
        <v>52340</v>
      </c>
      <c r="D25" s="5">
        <v>49480</v>
      </c>
      <c r="E25" s="5">
        <v>46204</v>
      </c>
      <c r="F25" s="5">
        <v>44667</v>
      </c>
      <c r="G25" s="5">
        <v>42029</v>
      </c>
      <c r="H25" s="5">
        <v>40442</v>
      </c>
    </row>
    <row r="26" spans="1:8" x14ac:dyDescent="0.2">
      <c r="A26" s="3" t="s">
        <v>33</v>
      </c>
      <c r="B26" s="4" t="s">
        <v>58</v>
      </c>
      <c r="C26" s="5">
        <v>474225</v>
      </c>
      <c r="D26" s="5">
        <v>605885</v>
      </c>
      <c r="E26" s="5">
        <v>550163</v>
      </c>
      <c r="F26" s="5">
        <v>531895</v>
      </c>
      <c r="G26" s="5">
        <v>529447</v>
      </c>
      <c r="H26" s="5">
        <v>540849</v>
      </c>
    </row>
    <row r="27" spans="1:8" x14ac:dyDescent="0.2">
      <c r="A27" s="3" t="s">
        <v>34</v>
      </c>
      <c r="B27" s="4" t="s">
        <v>58</v>
      </c>
      <c r="C27" s="5">
        <v>10205</v>
      </c>
      <c r="D27" s="5">
        <v>9646</v>
      </c>
      <c r="E27" s="5">
        <v>9560</v>
      </c>
      <c r="F27" s="5">
        <v>9515</v>
      </c>
      <c r="G27" s="5">
        <v>9263</v>
      </c>
      <c r="H27" s="5">
        <v>8928</v>
      </c>
    </row>
    <row r="28" spans="1:8" x14ac:dyDescent="0.2">
      <c r="A28" s="3" t="s">
        <v>35</v>
      </c>
      <c r="B28" s="4" t="s">
        <v>58</v>
      </c>
      <c r="C28" s="5">
        <v>22331</v>
      </c>
      <c r="D28" s="5">
        <v>21874</v>
      </c>
      <c r="E28" s="5">
        <v>20974</v>
      </c>
      <c r="F28" s="5">
        <v>20790</v>
      </c>
      <c r="G28" s="5">
        <v>22111</v>
      </c>
      <c r="H28" s="5">
        <v>21112</v>
      </c>
    </row>
    <row r="29" spans="1:8" x14ac:dyDescent="0.2">
      <c r="A29" s="3" t="s">
        <v>36</v>
      </c>
      <c r="B29" s="4" t="s">
        <v>58</v>
      </c>
      <c r="C29" s="5">
        <v>40250</v>
      </c>
      <c r="D29" s="5">
        <v>38720</v>
      </c>
      <c r="E29" s="5">
        <v>35063</v>
      </c>
      <c r="F29" s="5">
        <v>33776</v>
      </c>
      <c r="G29" s="5">
        <v>33293</v>
      </c>
      <c r="H29" s="5">
        <v>30056</v>
      </c>
    </row>
    <row r="30" spans="1:8" x14ac:dyDescent="0.2">
      <c r="A30" s="3" t="s">
        <v>37</v>
      </c>
      <c r="B30" s="4" t="s">
        <v>58</v>
      </c>
      <c r="C30" s="5">
        <v>6402</v>
      </c>
      <c r="D30" s="5">
        <v>6255</v>
      </c>
      <c r="E30" s="5">
        <v>6307</v>
      </c>
      <c r="F30" s="5">
        <v>6311</v>
      </c>
      <c r="G30" s="5">
        <v>6460</v>
      </c>
      <c r="H30" s="5">
        <v>6293</v>
      </c>
    </row>
    <row r="31" spans="1:8" x14ac:dyDescent="0.2">
      <c r="A31" s="3" t="s">
        <v>38</v>
      </c>
      <c r="B31" s="4" t="s">
        <v>58</v>
      </c>
      <c r="C31" s="5">
        <v>105917</v>
      </c>
      <c r="D31" s="5">
        <v>111255</v>
      </c>
      <c r="E31" s="5">
        <v>109747</v>
      </c>
      <c r="F31" s="5">
        <v>113484</v>
      </c>
      <c r="G31" s="5">
        <v>120798</v>
      </c>
      <c r="H31" s="5">
        <v>112691</v>
      </c>
    </row>
    <row r="32" spans="1:8" x14ac:dyDescent="0.2">
      <c r="A32" s="3" t="s">
        <v>39</v>
      </c>
      <c r="B32" s="4" t="s">
        <v>58</v>
      </c>
      <c r="C32" s="5">
        <v>4770</v>
      </c>
      <c r="D32" s="5">
        <v>4509</v>
      </c>
      <c r="E32" s="5">
        <v>4400</v>
      </c>
      <c r="F32" s="5">
        <v>4099</v>
      </c>
      <c r="G32" s="5">
        <v>4058</v>
      </c>
      <c r="H32" s="5">
        <v>4246</v>
      </c>
    </row>
    <row r="33" spans="1:8" x14ac:dyDescent="0.2">
      <c r="A33" s="3" t="s">
        <v>40</v>
      </c>
      <c r="B33" s="4" t="s">
        <v>58</v>
      </c>
      <c r="C33" s="4" t="s">
        <v>58</v>
      </c>
      <c r="D33" s="5">
        <v>193275</v>
      </c>
      <c r="E33" s="5">
        <v>195856</v>
      </c>
      <c r="F33" s="5">
        <v>199731</v>
      </c>
      <c r="G33" s="5">
        <v>204941</v>
      </c>
      <c r="H33" s="5">
        <v>205281</v>
      </c>
    </row>
    <row r="34" spans="1:8" x14ac:dyDescent="0.2">
      <c r="A34" s="3" t="s">
        <v>41</v>
      </c>
      <c r="B34" s="4" t="s">
        <v>58</v>
      </c>
      <c r="C34" s="5">
        <v>93426</v>
      </c>
      <c r="D34" s="5">
        <v>91263</v>
      </c>
      <c r="E34" s="5">
        <v>90790</v>
      </c>
      <c r="F34" s="5">
        <v>89991</v>
      </c>
      <c r="G34" s="5">
        <v>89826</v>
      </c>
      <c r="H34" s="5">
        <v>90346</v>
      </c>
    </row>
    <row r="35" spans="1:8" x14ac:dyDescent="0.2">
      <c r="A35" s="3" t="s">
        <v>42</v>
      </c>
      <c r="B35" s="4" t="s">
        <v>58</v>
      </c>
      <c r="C35" s="5">
        <v>395419</v>
      </c>
      <c r="D35" s="5">
        <v>372447</v>
      </c>
      <c r="E35" s="5">
        <v>350292</v>
      </c>
      <c r="F35" s="5">
        <v>338190</v>
      </c>
      <c r="G35" s="5">
        <v>331266</v>
      </c>
      <c r="H35" s="5">
        <v>319978</v>
      </c>
    </row>
    <row r="36" spans="1:8" x14ac:dyDescent="0.2">
      <c r="A36" s="3" t="s">
        <v>43</v>
      </c>
      <c r="B36" s="4" t="s">
        <v>58</v>
      </c>
      <c r="C36" s="4" t="s">
        <v>58</v>
      </c>
      <c r="D36" s="5">
        <v>119656</v>
      </c>
      <c r="E36" s="5">
        <v>103266</v>
      </c>
      <c r="F36" s="5">
        <v>109621</v>
      </c>
      <c r="G36" s="5">
        <v>106147</v>
      </c>
      <c r="H36" s="5">
        <v>104870</v>
      </c>
    </row>
    <row r="37" spans="1:8" x14ac:dyDescent="0.2">
      <c r="A37" s="3" t="s">
        <v>44</v>
      </c>
      <c r="B37" s="4" t="s">
        <v>58</v>
      </c>
      <c r="C37" s="5">
        <v>195572</v>
      </c>
      <c r="D37" s="5">
        <v>198670</v>
      </c>
      <c r="E37" s="5">
        <v>196067</v>
      </c>
      <c r="F37" s="5">
        <v>190452</v>
      </c>
      <c r="G37" s="5">
        <v>182698</v>
      </c>
      <c r="H37" s="5">
        <v>177366</v>
      </c>
    </row>
    <row r="38" spans="1:8" x14ac:dyDescent="0.2">
      <c r="A38" s="3" t="s">
        <v>45</v>
      </c>
      <c r="B38" s="4" t="s">
        <v>58</v>
      </c>
      <c r="C38" s="5">
        <v>18712</v>
      </c>
      <c r="D38" s="5">
        <v>19707</v>
      </c>
      <c r="E38" s="5">
        <v>19293</v>
      </c>
      <c r="F38" s="5">
        <v>19682</v>
      </c>
      <c r="G38" s="5">
        <v>17098</v>
      </c>
      <c r="H38" s="5">
        <v>17364</v>
      </c>
    </row>
    <row r="39" spans="1:8" x14ac:dyDescent="0.2">
      <c r="A39" s="3" t="s">
        <v>46</v>
      </c>
      <c r="B39" s="4" t="s">
        <v>58</v>
      </c>
      <c r="C39" s="5">
        <v>55626</v>
      </c>
      <c r="D39" s="5">
        <v>50612</v>
      </c>
      <c r="E39" s="5">
        <v>52660</v>
      </c>
      <c r="F39" s="5">
        <v>51612</v>
      </c>
      <c r="G39" s="5">
        <v>49238</v>
      </c>
      <c r="H39" s="5">
        <v>47468</v>
      </c>
    </row>
    <row r="40" spans="1:8" x14ac:dyDescent="0.2">
      <c r="A40" s="3" t="s">
        <v>47</v>
      </c>
      <c r="B40" s="4" t="s">
        <v>58</v>
      </c>
      <c r="C40" s="5">
        <v>67465</v>
      </c>
      <c r="D40" s="5">
        <v>65086</v>
      </c>
      <c r="E40" s="5">
        <v>65347</v>
      </c>
      <c r="F40" s="5">
        <v>65850</v>
      </c>
      <c r="G40" s="5">
        <v>66296</v>
      </c>
      <c r="H40" s="5">
        <v>67294</v>
      </c>
    </row>
    <row r="41" spans="1:8" x14ac:dyDescent="0.2">
      <c r="A41" s="3" t="s">
        <v>48</v>
      </c>
      <c r="B41" s="4" t="s">
        <v>58</v>
      </c>
      <c r="C41" s="5">
        <v>111136</v>
      </c>
      <c r="D41" s="5">
        <v>107516</v>
      </c>
      <c r="E41" s="5">
        <v>106786</v>
      </c>
      <c r="F41" s="5">
        <v>108801</v>
      </c>
      <c r="G41" s="5">
        <v>128307</v>
      </c>
      <c r="H41" s="5">
        <v>128217</v>
      </c>
    </row>
    <row r="42" spans="1:8" x14ac:dyDescent="0.2">
      <c r="A42" s="3" t="s">
        <v>49</v>
      </c>
      <c r="B42" s="4" t="s">
        <v>58</v>
      </c>
      <c r="C42" s="4" t="s">
        <v>58</v>
      </c>
      <c r="D42" s="5">
        <v>1350901</v>
      </c>
      <c r="E42" s="5">
        <v>706715</v>
      </c>
      <c r="F42" s="5">
        <v>694323</v>
      </c>
      <c r="G42" s="5">
        <v>1155710</v>
      </c>
      <c r="H42" s="5">
        <v>1079935</v>
      </c>
    </row>
    <row r="43" spans="1:8" x14ac:dyDescent="0.2">
      <c r="A43" s="3" t="s">
        <v>50</v>
      </c>
      <c r="B43" s="4" t="s">
        <v>58</v>
      </c>
      <c r="C43" s="5">
        <v>4858</v>
      </c>
      <c r="D43" s="5">
        <v>4650</v>
      </c>
      <c r="E43" s="5">
        <v>4608</v>
      </c>
      <c r="F43" s="5">
        <v>4452</v>
      </c>
      <c r="G43" s="5">
        <v>4598</v>
      </c>
      <c r="H43" s="5">
        <v>4483</v>
      </c>
    </row>
    <row r="44" spans="1:8" x14ac:dyDescent="0.2">
      <c r="A44" s="3" t="s">
        <v>51</v>
      </c>
      <c r="B44" s="4" t="s">
        <v>58</v>
      </c>
      <c r="C44" s="5">
        <v>676</v>
      </c>
      <c r="D44" s="5">
        <v>473</v>
      </c>
      <c r="E44" s="5">
        <v>505</v>
      </c>
      <c r="F44" s="5">
        <v>463</v>
      </c>
      <c r="G44" s="4" t="s">
        <v>58</v>
      </c>
      <c r="H44" s="5">
        <v>175</v>
      </c>
    </row>
    <row r="45" spans="1:8" x14ac:dyDescent="0.2">
      <c r="A45" s="3" t="s">
        <v>52</v>
      </c>
      <c r="B45" s="4" t="s">
        <v>58</v>
      </c>
      <c r="C45" s="5">
        <v>66201</v>
      </c>
      <c r="D45" s="5">
        <v>65432</v>
      </c>
      <c r="E45" s="5">
        <v>63959</v>
      </c>
      <c r="F45" s="5">
        <v>65263</v>
      </c>
      <c r="G45" s="5">
        <v>65645</v>
      </c>
      <c r="H45" s="5">
        <v>64415</v>
      </c>
    </row>
    <row r="46" spans="1:8" x14ac:dyDescent="0.2">
      <c r="A46" s="3" t="s">
        <v>53</v>
      </c>
      <c r="B46" s="4" t="s">
        <v>58</v>
      </c>
      <c r="C46" s="5">
        <v>108227</v>
      </c>
      <c r="D46" s="5">
        <v>103569</v>
      </c>
      <c r="E46" s="5">
        <v>102646</v>
      </c>
      <c r="F46" s="5">
        <v>99796</v>
      </c>
      <c r="G46" s="5">
        <v>100817</v>
      </c>
      <c r="H46" s="5">
        <v>98330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5">
        <v>7261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5">
        <v>22958</v>
      </c>
      <c r="D48" s="5">
        <v>21821</v>
      </c>
      <c r="E48" s="5">
        <v>20667</v>
      </c>
      <c r="F48" s="5">
        <v>20527</v>
      </c>
      <c r="G48" s="5">
        <v>17504</v>
      </c>
      <c r="H48" s="5">
        <v>19311</v>
      </c>
    </row>
    <row r="49" spans="1:8" x14ac:dyDescent="0.2">
      <c r="A49" s="3" t="s">
        <v>56</v>
      </c>
      <c r="B49" s="4" t="s">
        <v>58</v>
      </c>
      <c r="C49" s="5">
        <v>281134</v>
      </c>
      <c r="D49" s="5">
        <v>269683</v>
      </c>
      <c r="E49" s="5">
        <v>260436</v>
      </c>
      <c r="F49" s="5">
        <v>253176</v>
      </c>
      <c r="G49" s="5">
        <v>249779</v>
      </c>
      <c r="H49" s="5">
        <v>248904</v>
      </c>
    </row>
    <row r="50" spans="1:8" x14ac:dyDescent="0.2">
      <c r="A50" s="3" t="s">
        <v>57</v>
      </c>
      <c r="B50" s="4" t="s">
        <v>58</v>
      </c>
      <c r="C50" s="5">
        <v>1439262</v>
      </c>
      <c r="D50" s="5">
        <v>1626232</v>
      </c>
      <c r="E50" s="5">
        <v>1616515</v>
      </c>
      <c r="F50" s="5">
        <v>1498939</v>
      </c>
      <c r="G50" s="5">
        <v>1390313</v>
      </c>
      <c r="H50" s="5">
        <v>1353290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44002.107865983795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61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5">
        <v>2596831</v>
      </c>
      <c r="D13" s="5">
        <v>2748676</v>
      </c>
      <c r="E13" s="5">
        <v>2766112</v>
      </c>
      <c r="F13" s="5">
        <v>2786435</v>
      </c>
      <c r="G13" s="5">
        <v>2928861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5">
        <v>2971022</v>
      </c>
      <c r="E14" s="5">
        <v>3472827</v>
      </c>
      <c r="F14" s="5">
        <v>3480758</v>
      </c>
      <c r="G14" s="5">
        <v>3615777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65265</v>
      </c>
      <c r="D15" s="5">
        <v>67536</v>
      </c>
      <c r="E15" s="5">
        <v>66695</v>
      </c>
      <c r="F15" s="5">
        <v>33190</v>
      </c>
      <c r="G15" s="5">
        <v>104248</v>
      </c>
      <c r="H15" s="5">
        <v>68708</v>
      </c>
    </row>
    <row r="16" spans="1:8" x14ac:dyDescent="0.2">
      <c r="A16" s="3" t="s">
        <v>23</v>
      </c>
      <c r="B16" s="4" t="s">
        <v>58</v>
      </c>
      <c r="C16" s="5">
        <v>29034</v>
      </c>
      <c r="D16" s="5">
        <v>30215</v>
      </c>
      <c r="E16" s="5">
        <v>30291</v>
      </c>
      <c r="F16" s="5">
        <v>30270</v>
      </c>
      <c r="G16" s="5">
        <v>29768</v>
      </c>
      <c r="H16" s="5">
        <v>38067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25256</v>
      </c>
      <c r="F17" s="5">
        <v>25981</v>
      </c>
      <c r="G17" s="5">
        <v>25955</v>
      </c>
      <c r="H17" s="5">
        <v>25833</v>
      </c>
    </row>
    <row r="18" spans="1:8" x14ac:dyDescent="0.2">
      <c r="A18" s="3" t="s">
        <v>25</v>
      </c>
      <c r="B18" s="4" t="s">
        <v>58</v>
      </c>
      <c r="C18" s="5">
        <v>60952</v>
      </c>
      <c r="D18" s="5">
        <v>61554</v>
      </c>
      <c r="E18" s="5">
        <v>60780</v>
      </c>
      <c r="F18" s="5">
        <v>62374</v>
      </c>
      <c r="G18" s="5">
        <v>65157</v>
      </c>
      <c r="H18" s="5">
        <v>62376</v>
      </c>
    </row>
    <row r="19" spans="1:8" x14ac:dyDescent="0.2">
      <c r="A19" s="3" t="s">
        <v>26</v>
      </c>
      <c r="B19" s="4" t="s">
        <v>58</v>
      </c>
      <c r="C19" s="5">
        <v>507028</v>
      </c>
      <c r="D19" s="5">
        <v>539372</v>
      </c>
      <c r="E19" s="5">
        <v>520943</v>
      </c>
      <c r="F19" s="5">
        <v>519975</v>
      </c>
      <c r="G19" s="5">
        <v>550129</v>
      </c>
      <c r="H19" s="5">
        <v>468783</v>
      </c>
    </row>
    <row r="20" spans="1:8" x14ac:dyDescent="0.2">
      <c r="A20" s="3" t="s">
        <v>27</v>
      </c>
      <c r="B20" s="4" t="s">
        <v>58</v>
      </c>
      <c r="C20" s="5">
        <v>9273</v>
      </c>
      <c r="D20" s="5">
        <v>9003</v>
      </c>
      <c r="E20" s="5">
        <v>8552</v>
      </c>
      <c r="F20" s="5">
        <v>8740</v>
      </c>
      <c r="G20" s="5">
        <v>8675</v>
      </c>
      <c r="H20" s="5">
        <v>8821</v>
      </c>
    </row>
    <row r="21" spans="1:8" x14ac:dyDescent="0.2">
      <c r="A21" s="3" t="s">
        <v>28</v>
      </c>
      <c r="B21" s="4" t="s">
        <v>58</v>
      </c>
      <c r="C21" s="4" t="s">
        <v>58</v>
      </c>
      <c r="D21" s="5">
        <v>66340</v>
      </c>
      <c r="E21" s="5">
        <v>63903</v>
      </c>
      <c r="F21" s="5">
        <v>65151</v>
      </c>
      <c r="G21" s="5">
        <v>79832</v>
      </c>
      <c r="H21" s="5">
        <v>64798</v>
      </c>
    </row>
    <row r="22" spans="1:8" x14ac:dyDescent="0.2">
      <c r="A22" s="3" t="s">
        <v>29</v>
      </c>
      <c r="B22" s="4" t="s">
        <v>58</v>
      </c>
      <c r="C22" s="5">
        <v>84963</v>
      </c>
      <c r="D22" s="5">
        <v>82974</v>
      </c>
      <c r="E22" s="5">
        <v>108843</v>
      </c>
      <c r="F22" s="5">
        <v>107146</v>
      </c>
      <c r="G22" s="5">
        <v>103719</v>
      </c>
      <c r="H22" s="5">
        <v>99041</v>
      </c>
    </row>
    <row r="23" spans="1:8" x14ac:dyDescent="0.2">
      <c r="A23" s="3" t="s">
        <v>30</v>
      </c>
      <c r="B23" s="4" t="s">
        <v>58</v>
      </c>
      <c r="C23" s="4" t="s">
        <v>58</v>
      </c>
      <c r="D23" s="5">
        <v>356261</v>
      </c>
      <c r="E23" s="5">
        <v>366186</v>
      </c>
      <c r="F23" s="5">
        <v>381109</v>
      </c>
      <c r="G23" s="5">
        <v>381230</v>
      </c>
      <c r="H23" s="5">
        <v>385540</v>
      </c>
    </row>
    <row r="24" spans="1:8" x14ac:dyDescent="0.2">
      <c r="A24" s="3" t="s">
        <v>31</v>
      </c>
      <c r="B24" s="4" t="s">
        <v>58</v>
      </c>
      <c r="C24" s="5">
        <v>476981</v>
      </c>
      <c r="D24" s="5">
        <v>494091</v>
      </c>
      <c r="E24" s="5">
        <v>508831</v>
      </c>
      <c r="F24" s="5">
        <v>537590</v>
      </c>
      <c r="G24" s="5">
        <v>546021</v>
      </c>
      <c r="H24" s="5">
        <v>545584</v>
      </c>
    </row>
    <row r="25" spans="1:8" x14ac:dyDescent="0.2">
      <c r="A25" s="3" t="s">
        <v>32</v>
      </c>
      <c r="B25" s="4" t="s">
        <v>58</v>
      </c>
      <c r="C25" s="5">
        <v>13660</v>
      </c>
      <c r="D25" s="5">
        <v>13444</v>
      </c>
      <c r="E25" s="5">
        <v>13275</v>
      </c>
      <c r="F25" s="5">
        <v>12627</v>
      </c>
      <c r="G25" s="5">
        <v>12242</v>
      </c>
      <c r="H25" s="5">
        <v>11853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5">
        <v>277314</v>
      </c>
      <c r="F26" s="5">
        <v>287302</v>
      </c>
      <c r="G26" s="5">
        <v>288439</v>
      </c>
      <c r="H26" s="5">
        <v>300422</v>
      </c>
    </row>
    <row r="27" spans="1:8" x14ac:dyDescent="0.2">
      <c r="A27" s="3" t="s">
        <v>34</v>
      </c>
      <c r="B27" s="4" t="s">
        <v>58</v>
      </c>
      <c r="C27" s="5">
        <v>8684</v>
      </c>
      <c r="D27" s="5">
        <v>7999</v>
      </c>
      <c r="E27" s="5">
        <v>8038</v>
      </c>
      <c r="F27" s="5">
        <v>7788</v>
      </c>
      <c r="G27" s="5">
        <v>7602</v>
      </c>
      <c r="H27" s="5">
        <v>7355</v>
      </c>
    </row>
    <row r="28" spans="1:8" x14ac:dyDescent="0.2">
      <c r="A28" s="3" t="s">
        <v>35</v>
      </c>
      <c r="B28" s="4" t="s">
        <v>58</v>
      </c>
      <c r="C28" s="5">
        <v>13931</v>
      </c>
      <c r="D28" s="5">
        <v>13504</v>
      </c>
      <c r="E28" s="5">
        <v>12585</v>
      </c>
      <c r="F28" s="5">
        <v>12917</v>
      </c>
      <c r="G28" s="5">
        <v>13188</v>
      </c>
      <c r="H28" s="5">
        <v>12507</v>
      </c>
    </row>
    <row r="29" spans="1:8" x14ac:dyDescent="0.2">
      <c r="A29" s="3" t="s">
        <v>36</v>
      </c>
      <c r="B29" s="4" t="s">
        <v>58</v>
      </c>
      <c r="C29" s="5">
        <v>32247</v>
      </c>
      <c r="D29" s="5">
        <v>30791</v>
      </c>
      <c r="E29" s="5">
        <v>27552</v>
      </c>
      <c r="F29" s="5">
        <v>26593</v>
      </c>
      <c r="G29" s="5">
        <v>26009</v>
      </c>
      <c r="H29" s="5">
        <v>23911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2479</v>
      </c>
      <c r="E30" s="5">
        <v>2530</v>
      </c>
      <c r="F30" s="5">
        <v>2478</v>
      </c>
      <c r="G30" s="5">
        <v>2636</v>
      </c>
      <c r="H30" s="5">
        <v>2483</v>
      </c>
    </row>
    <row r="31" spans="1:8" x14ac:dyDescent="0.2">
      <c r="A31" s="3" t="s">
        <v>38</v>
      </c>
      <c r="B31" s="4" t="s">
        <v>58</v>
      </c>
      <c r="C31" s="5">
        <v>75996</v>
      </c>
      <c r="D31" s="5">
        <v>81627</v>
      </c>
      <c r="E31" s="5">
        <v>81803</v>
      </c>
      <c r="F31" s="5">
        <v>83530</v>
      </c>
      <c r="G31" s="5">
        <v>90933</v>
      </c>
      <c r="H31" s="5">
        <v>51249</v>
      </c>
    </row>
    <row r="32" spans="1:8" x14ac:dyDescent="0.2">
      <c r="A32" s="3" t="s">
        <v>39</v>
      </c>
      <c r="B32" s="4" t="s">
        <v>58</v>
      </c>
      <c r="C32" s="5">
        <v>7314</v>
      </c>
      <c r="D32" s="5">
        <v>7007</v>
      </c>
      <c r="E32" s="5">
        <v>6981</v>
      </c>
      <c r="F32" s="5">
        <v>6456</v>
      </c>
      <c r="G32" s="5">
        <v>6527</v>
      </c>
      <c r="H32" s="5">
        <v>6784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5">
        <v>94849</v>
      </c>
      <c r="F33" s="5">
        <v>97338</v>
      </c>
      <c r="G33" s="5">
        <v>98944</v>
      </c>
      <c r="H33" s="5">
        <v>98666</v>
      </c>
    </row>
    <row r="34" spans="1:8" x14ac:dyDescent="0.2">
      <c r="A34" s="3" t="s">
        <v>41</v>
      </c>
      <c r="B34" s="4" t="s">
        <v>58</v>
      </c>
      <c r="C34" s="5">
        <v>41484</v>
      </c>
      <c r="D34" s="5">
        <v>40378</v>
      </c>
      <c r="E34" s="5">
        <v>40033</v>
      </c>
      <c r="F34" s="5">
        <v>40729</v>
      </c>
      <c r="G34" s="5">
        <v>40422</v>
      </c>
      <c r="H34" s="5">
        <v>40386</v>
      </c>
    </row>
    <row r="35" spans="1:8" x14ac:dyDescent="0.2">
      <c r="A35" s="3" t="s">
        <v>42</v>
      </c>
      <c r="B35" s="4" t="s">
        <v>58</v>
      </c>
      <c r="C35" s="4" t="s">
        <v>58</v>
      </c>
      <c r="D35" s="5">
        <v>178175</v>
      </c>
      <c r="E35" s="5">
        <v>167720</v>
      </c>
      <c r="F35" s="5">
        <v>159086</v>
      </c>
      <c r="G35" s="5">
        <v>153473</v>
      </c>
      <c r="H35" s="5">
        <v>152217</v>
      </c>
    </row>
    <row r="36" spans="1:8" x14ac:dyDescent="0.2">
      <c r="A36" s="3" t="s">
        <v>43</v>
      </c>
      <c r="B36" s="4" t="s">
        <v>58</v>
      </c>
      <c r="C36" s="4" t="s">
        <v>58</v>
      </c>
      <c r="D36" s="5">
        <v>67034</v>
      </c>
      <c r="E36" s="5">
        <v>66020</v>
      </c>
      <c r="F36" s="5">
        <v>67992</v>
      </c>
      <c r="G36" s="5">
        <v>66132</v>
      </c>
      <c r="H36" s="5">
        <v>66254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5">
        <v>79359</v>
      </c>
      <c r="F37" s="5">
        <v>78745</v>
      </c>
      <c r="G37" s="5">
        <v>76851</v>
      </c>
      <c r="H37" s="5">
        <v>75935</v>
      </c>
    </row>
    <row r="38" spans="1:8" x14ac:dyDescent="0.2">
      <c r="A38" s="3" t="s">
        <v>45</v>
      </c>
      <c r="B38" s="4" t="s">
        <v>58</v>
      </c>
      <c r="C38" s="4" t="s">
        <v>58</v>
      </c>
      <c r="D38" s="5">
        <v>13233</v>
      </c>
      <c r="E38" s="5">
        <v>7177</v>
      </c>
      <c r="F38" s="5">
        <v>6783</v>
      </c>
      <c r="G38" s="5">
        <v>6794</v>
      </c>
      <c r="H38" s="5">
        <v>6832</v>
      </c>
    </row>
    <row r="39" spans="1:8" x14ac:dyDescent="0.2">
      <c r="A39" s="3" t="s">
        <v>46</v>
      </c>
      <c r="B39" s="4" t="s">
        <v>58</v>
      </c>
      <c r="C39" s="5">
        <v>16514</v>
      </c>
      <c r="D39" s="5">
        <v>12736</v>
      </c>
      <c r="E39" s="5">
        <v>15306</v>
      </c>
      <c r="F39" s="5">
        <v>15169</v>
      </c>
      <c r="G39" s="5">
        <v>14595</v>
      </c>
      <c r="H39" s="5">
        <v>14026</v>
      </c>
    </row>
    <row r="40" spans="1:8" x14ac:dyDescent="0.2">
      <c r="A40" s="3" t="s">
        <v>47</v>
      </c>
      <c r="B40" s="4" t="s">
        <v>58</v>
      </c>
      <c r="C40" s="5">
        <v>33314</v>
      </c>
      <c r="D40" s="5">
        <v>34166</v>
      </c>
      <c r="E40" s="5">
        <v>32450</v>
      </c>
      <c r="F40" s="5">
        <v>33055</v>
      </c>
      <c r="G40" s="5">
        <v>33403</v>
      </c>
      <c r="H40" s="5">
        <v>33961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72840</v>
      </c>
      <c r="F41" s="5">
        <v>76322</v>
      </c>
      <c r="G41" s="5">
        <v>95446</v>
      </c>
      <c r="H41" s="5">
        <v>92092</v>
      </c>
    </row>
    <row r="42" spans="1:8" x14ac:dyDescent="0.2">
      <c r="A42" s="3" t="s">
        <v>49</v>
      </c>
      <c r="B42" s="4" t="s">
        <v>58</v>
      </c>
      <c r="C42" s="4" t="s">
        <v>58</v>
      </c>
      <c r="D42" s="5">
        <v>222346</v>
      </c>
      <c r="E42" s="5">
        <v>706715</v>
      </c>
      <c r="F42" s="5">
        <v>694323</v>
      </c>
      <c r="G42" s="5">
        <v>686916</v>
      </c>
      <c r="H42" s="5">
        <v>708045</v>
      </c>
    </row>
    <row r="43" spans="1:8" x14ac:dyDescent="0.2">
      <c r="A43" s="3" t="s">
        <v>50</v>
      </c>
      <c r="B43" s="4" t="s">
        <v>58</v>
      </c>
      <c r="C43" s="5">
        <v>4595</v>
      </c>
      <c r="D43" s="5">
        <v>4364</v>
      </c>
      <c r="E43" s="5">
        <v>4115</v>
      </c>
      <c r="F43" s="5">
        <v>4235</v>
      </c>
      <c r="G43" s="5">
        <v>4437</v>
      </c>
      <c r="H43" s="5">
        <v>4270</v>
      </c>
    </row>
    <row r="44" spans="1:8" x14ac:dyDescent="0.2">
      <c r="A44" s="3" t="s">
        <v>51</v>
      </c>
      <c r="B44" s="4" t="s">
        <v>58</v>
      </c>
      <c r="C44" s="5">
        <v>287</v>
      </c>
      <c r="D44" s="5">
        <v>163</v>
      </c>
      <c r="E44" s="5">
        <v>196</v>
      </c>
      <c r="F44" s="5">
        <v>185</v>
      </c>
      <c r="G44" s="4" t="s">
        <v>58</v>
      </c>
      <c r="H44" s="5">
        <v>175</v>
      </c>
    </row>
    <row r="45" spans="1:8" x14ac:dyDescent="0.2">
      <c r="A45" s="3" t="s">
        <v>52</v>
      </c>
      <c r="B45" s="4" t="s">
        <v>58</v>
      </c>
      <c r="C45" s="4" t="s">
        <v>58</v>
      </c>
      <c r="D45" s="5">
        <v>35349</v>
      </c>
      <c r="E45" s="5">
        <v>35337</v>
      </c>
      <c r="F45" s="5">
        <v>35528</v>
      </c>
      <c r="G45" s="5">
        <v>38240</v>
      </c>
      <c r="H45" s="5">
        <v>36924</v>
      </c>
    </row>
    <row r="46" spans="1:8" x14ac:dyDescent="0.2">
      <c r="A46" s="3" t="s">
        <v>53</v>
      </c>
      <c r="B46" s="4" t="s">
        <v>58</v>
      </c>
      <c r="C46" s="5">
        <v>49238</v>
      </c>
      <c r="D46" s="5">
        <v>48755</v>
      </c>
      <c r="E46" s="5">
        <v>49848</v>
      </c>
      <c r="F46" s="5">
        <v>49664</v>
      </c>
      <c r="G46" s="5">
        <v>50781</v>
      </c>
      <c r="H46" s="5">
        <v>50458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5">
        <v>7680</v>
      </c>
    </row>
    <row r="48" spans="1:8" x14ac:dyDescent="0.2">
      <c r="A48" s="3" t="s">
        <v>55</v>
      </c>
      <c r="B48" s="4" t="s">
        <v>58</v>
      </c>
      <c r="C48" s="4" t="s">
        <v>58</v>
      </c>
      <c r="D48" s="4" t="s">
        <v>58</v>
      </c>
      <c r="E48" s="4" t="s">
        <v>58</v>
      </c>
      <c r="F48" s="4" t="s">
        <v>58</v>
      </c>
      <c r="G48" s="4" t="s">
        <v>58</v>
      </c>
      <c r="H48" s="4" t="s">
        <v>58</v>
      </c>
    </row>
    <row r="49" spans="1:8" x14ac:dyDescent="0.2">
      <c r="A49" s="3" t="s">
        <v>56</v>
      </c>
      <c r="B49" s="4" t="s">
        <v>58</v>
      </c>
      <c r="C49" s="5">
        <v>67962</v>
      </c>
      <c r="D49" s="5">
        <v>66825</v>
      </c>
      <c r="E49" s="5">
        <v>65438</v>
      </c>
      <c r="F49" s="5">
        <v>64766</v>
      </c>
      <c r="G49" s="5">
        <v>64395</v>
      </c>
      <c r="H49" s="5">
        <v>65226</v>
      </c>
    </row>
    <row r="50" spans="1:8" x14ac:dyDescent="0.2">
      <c r="A50" s="3" t="s">
        <v>57</v>
      </c>
      <c r="B50" s="4" t="s">
        <v>58</v>
      </c>
      <c r="C50" s="5">
        <v>707624</v>
      </c>
      <c r="D50" s="5">
        <v>800115</v>
      </c>
      <c r="E50" s="5">
        <v>386045</v>
      </c>
      <c r="F50" s="5">
        <v>812555</v>
      </c>
      <c r="G50" s="5">
        <v>768031</v>
      </c>
      <c r="H50" s="5">
        <v>711923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zoomScaleNormal="100" workbookViewId="0">
      <selection activeCell="J17" sqref="J17"/>
    </sheetView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44002.107865983795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62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5">
        <v>2347265</v>
      </c>
      <c r="D13" s="5">
        <v>2374029</v>
      </c>
      <c r="E13" s="5">
        <v>2304998</v>
      </c>
      <c r="F13" s="5">
        <v>2264392</v>
      </c>
      <c r="G13" s="5">
        <v>2216168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5">
        <v>3502584</v>
      </c>
      <c r="E14" s="4" t="s">
        <v>58</v>
      </c>
      <c r="F14" s="5">
        <v>3458968</v>
      </c>
      <c r="G14" s="5">
        <v>3503342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43949</v>
      </c>
      <c r="D15" s="5">
        <v>38983</v>
      </c>
      <c r="E15" s="5">
        <v>38031</v>
      </c>
      <c r="F15" s="5">
        <v>19511</v>
      </c>
      <c r="G15" s="4" t="s">
        <v>58</v>
      </c>
      <c r="H15" s="5">
        <v>35811</v>
      </c>
    </row>
    <row r="16" spans="1:8" x14ac:dyDescent="0.2">
      <c r="A16" s="3" t="s">
        <v>23</v>
      </c>
      <c r="B16" s="4" t="s">
        <v>58</v>
      </c>
      <c r="C16" s="5">
        <v>32184</v>
      </c>
      <c r="D16" s="5">
        <v>34150</v>
      </c>
      <c r="E16" s="5">
        <v>35091</v>
      </c>
      <c r="F16" s="5">
        <v>32909</v>
      </c>
      <c r="G16" s="5">
        <v>30753</v>
      </c>
      <c r="H16" s="5">
        <v>43444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63132</v>
      </c>
      <c r="F17" s="5">
        <v>62722</v>
      </c>
      <c r="G17" s="5">
        <v>62839</v>
      </c>
      <c r="H17" s="5">
        <v>63883</v>
      </c>
    </row>
    <row r="18" spans="1:8" x14ac:dyDescent="0.2">
      <c r="A18" s="3" t="s">
        <v>25</v>
      </c>
      <c r="B18" s="4" t="s">
        <v>58</v>
      </c>
      <c r="C18" s="5">
        <v>36396</v>
      </c>
      <c r="D18" s="5">
        <v>35960</v>
      </c>
      <c r="E18" s="5">
        <v>35877</v>
      </c>
      <c r="F18" s="5">
        <v>29047</v>
      </c>
      <c r="G18" s="5">
        <v>28530</v>
      </c>
      <c r="H18" s="5">
        <v>28869</v>
      </c>
    </row>
    <row r="19" spans="1:8" x14ac:dyDescent="0.2">
      <c r="A19" s="3" t="s">
        <v>26</v>
      </c>
      <c r="B19" s="4" t="s">
        <v>58</v>
      </c>
      <c r="C19" s="5">
        <v>479489</v>
      </c>
      <c r="D19" s="5">
        <v>481068</v>
      </c>
      <c r="E19" s="5">
        <v>475070</v>
      </c>
      <c r="F19" s="5">
        <v>463256</v>
      </c>
      <c r="G19" s="5">
        <v>450535</v>
      </c>
      <c r="H19" s="5">
        <v>448728</v>
      </c>
    </row>
    <row r="20" spans="1:8" x14ac:dyDescent="0.2">
      <c r="A20" s="3" t="s">
        <v>27</v>
      </c>
      <c r="B20" s="4" t="s">
        <v>58</v>
      </c>
      <c r="C20" s="5">
        <v>5625</v>
      </c>
      <c r="D20" s="5">
        <v>5045</v>
      </c>
      <c r="E20" s="5">
        <v>5889</v>
      </c>
      <c r="F20" s="5">
        <v>7270</v>
      </c>
      <c r="G20" s="5">
        <v>7057</v>
      </c>
      <c r="H20" s="5">
        <v>7153</v>
      </c>
    </row>
    <row r="21" spans="1:8" x14ac:dyDescent="0.2">
      <c r="A21" s="3" t="s">
        <v>28</v>
      </c>
      <c r="B21" s="4" t="s">
        <v>58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5">
        <v>77191</v>
      </c>
    </row>
    <row r="22" spans="1:8" x14ac:dyDescent="0.2">
      <c r="A22" s="3" t="s">
        <v>29</v>
      </c>
      <c r="B22" s="4" t="s">
        <v>58</v>
      </c>
      <c r="C22" s="5">
        <v>40477</v>
      </c>
      <c r="D22" s="5">
        <v>29474</v>
      </c>
      <c r="E22" s="5">
        <v>38686</v>
      </c>
      <c r="F22" s="5">
        <v>46156</v>
      </c>
      <c r="G22" s="5">
        <v>41721</v>
      </c>
      <c r="H22" s="5">
        <v>42353</v>
      </c>
    </row>
    <row r="23" spans="1:8" x14ac:dyDescent="0.2">
      <c r="A23" s="3" t="s">
        <v>30</v>
      </c>
      <c r="B23" s="4" t="s">
        <v>58</v>
      </c>
      <c r="C23" s="4" t="s">
        <v>58</v>
      </c>
      <c r="D23" s="5">
        <v>201697</v>
      </c>
      <c r="E23" s="5">
        <v>207982</v>
      </c>
      <c r="F23" s="5">
        <v>206807</v>
      </c>
      <c r="G23" s="5">
        <v>216731</v>
      </c>
      <c r="H23" s="5">
        <v>222025</v>
      </c>
    </row>
    <row r="24" spans="1:8" x14ac:dyDescent="0.2">
      <c r="A24" s="3" t="s">
        <v>31</v>
      </c>
      <c r="B24" s="4" t="s">
        <v>58</v>
      </c>
      <c r="C24" s="5">
        <v>325141</v>
      </c>
      <c r="D24" s="5">
        <v>314323</v>
      </c>
      <c r="E24" s="5">
        <v>313299</v>
      </c>
      <c r="F24" s="5">
        <v>314651</v>
      </c>
      <c r="G24" s="5">
        <v>314538</v>
      </c>
      <c r="H24" s="5">
        <v>307849</v>
      </c>
    </row>
    <row r="25" spans="1:8" x14ac:dyDescent="0.2">
      <c r="A25" s="3" t="s">
        <v>32</v>
      </c>
      <c r="B25" s="4" t="s">
        <v>58</v>
      </c>
      <c r="C25" s="5">
        <v>36830</v>
      </c>
      <c r="D25" s="5">
        <v>33936</v>
      </c>
      <c r="E25" s="5">
        <v>31654</v>
      </c>
      <c r="F25" s="5">
        <v>32040</v>
      </c>
      <c r="G25" s="5">
        <v>29787</v>
      </c>
      <c r="H25" s="5">
        <v>28589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5">
        <v>343622</v>
      </c>
      <c r="F26" s="5">
        <v>336484</v>
      </c>
      <c r="G26" s="5">
        <v>323218</v>
      </c>
      <c r="H26" s="5">
        <v>334383</v>
      </c>
    </row>
    <row r="27" spans="1:8" x14ac:dyDescent="0.2">
      <c r="A27" s="3" t="s">
        <v>34</v>
      </c>
      <c r="B27" s="4" t="s">
        <v>58</v>
      </c>
      <c r="C27" s="5">
        <v>1521</v>
      </c>
      <c r="D27" s="5">
        <v>1647</v>
      </c>
      <c r="E27" s="5">
        <v>1522</v>
      </c>
      <c r="F27" s="5">
        <v>1727</v>
      </c>
      <c r="G27" s="5">
        <v>1661</v>
      </c>
      <c r="H27" s="5">
        <v>1572</v>
      </c>
    </row>
    <row r="28" spans="1:8" x14ac:dyDescent="0.2">
      <c r="A28" s="3" t="s">
        <v>35</v>
      </c>
      <c r="B28" s="4" t="s">
        <v>58</v>
      </c>
      <c r="C28" s="5">
        <v>8400</v>
      </c>
      <c r="D28" s="5">
        <v>8370</v>
      </c>
      <c r="E28" s="5">
        <v>8389</v>
      </c>
      <c r="F28" s="5">
        <v>7873</v>
      </c>
      <c r="G28" s="5">
        <v>8923</v>
      </c>
      <c r="H28" s="5">
        <v>8605</v>
      </c>
    </row>
    <row r="29" spans="1:8" x14ac:dyDescent="0.2">
      <c r="A29" s="3" t="s">
        <v>36</v>
      </c>
      <c r="B29" s="4" t="s">
        <v>58</v>
      </c>
      <c r="C29" s="5">
        <v>8081</v>
      </c>
      <c r="D29" s="5">
        <v>7976</v>
      </c>
      <c r="E29" s="5">
        <v>7555</v>
      </c>
      <c r="F29" s="5">
        <v>7217</v>
      </c>
      <c r="G29" s="5">
        <v>7331</v>
      </c>
      <c r="H29" s="5">
        <v>6175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3776</v>
      </c>
      <c r="E30" s="5">
        <v>3956</v>
      </c>
      <c r="F30" s="5">
        <v>3977</v>
      </c>
      <c r="G30" s="5">
        <v>3993</v>
      </c>
      <c r="H30" s="5">
        <v>3992</v>
      </c>
    </row>
    <row r="31" spans="1:8" x14ac:dyDescent="0.2">
      <c r="A31" s="3" t="s">
        <v>38</v>
      </c>
      <c r="B31" s="4" t="s">
        <v>58</v>
      </c>
      <c r="C31" s="5">
        <v>29921</v>
      </c>
      <c r="D31" s="5">
        <v>29628</v>
      </c>
      <c r="E31" s="5">
        <v>27944</v>
      </c>
      <c r="F31" s="5">
        <v>29954</v>
      </c>
      <c r="G31" s="5">
        <v>29865</v>
      </c>
      <c r="H31" s="5">
        <v>61442</v>
      </c>
    </row>
    <row r="32" spans="1:8" x14ac:dyDescent="0.2">
      <c r="A32" s="3" t="s">
        <v>39</v>
      </c>
      <c r="B32" s="4" t="s">
        <v>58</v>
      </c>
      <c r="C32" s="5">
        <v>3094</v>
      </c>
      <c r="D32" s="5">
        <v>3415</v>
      </c>
      <c r="E32" s="5">
        <v>3539</v>
      </c>
      <c r="F32" s="5">
        <v>3807</v>
      </c>
      <c r="G32" s="5">
        <v>3325</v>
      </c>
      <c r="H32" s="5">
        <v>3414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5">
        <v>113317</v>
      </c>
      <c r="F33" s="5">
        <v>114158</v>
      </c>
      <c r="G33" s="5">
        <v>117579</v>
      </c>
      <c r="H33" s="5">
        <v>117892</v>
      </c>
    </row>
    <row r="34" spans="1:8" x14ac:dyDescent="0.2">
      <c r="A34" s="3" t="s">
        <v>41</v>
      </c>
      <c r="B34" s="4" t="s">
        <v>58</v>
      </c>
      <c r="C34" s="5">
        <v>73180</v>
      </c>
      <c r="D34" s="5">
        <v>69404</v>
      </c>
      <c r="E34" s="5">
        <v>68524</v>
      </c>
      <c r="F34" s="5">
        <v>66328</v>
      </c>
      <c r="G34" s="5">
        <v>66646</v>
      </c>
      <c r="H34" s="5">
        <v>67177</v>
      </c>
    </row>
    <row r="35" spans="1:8" x14ac:dyDescent="0.2">
      <c r="A35" s="3" t="s">
        <v>42</v>
      </c>
      <c r="B35" s="4" t="s">
        <v>58</v>
      </c>
      <c r="C35" s="4" t="s">
        <v>58</v>
      </c>
      <c r="D35" s="5">
        <v>194272</v>
      </c>
      <c r="E35" s="5">
        <v>182572</v>
      </c>
      <c r="F35" s="5">
        <v>179104</v>
      </c>
      <c r="G35" s="5">
        <v>177793</v>
      </c>
      <c r="H35" s="5">
        <v>167761</v>
      </c>
    </row>
    <row r="36" spans="1:8" x14ac:dyDescent="0.2">
      <c r="A36" s="3" t="s">
        <v>43</v>
      </c>
      <c r="B36" s="4" t="s">
        <v>58</v>
      </c>
      <c r="C36" s="4" t="s">
        <v>58</v>
      </c>
      <c r="D36" s="5">
        <v>52622</v>
      </c>
      <c r="E36" s="5">
        <v>37246</v>
      </c>
      <c r="F36" s="5">
        <v>41629</v>
      </c>
      <c r="G36" s="5">
        <v>40015</v>
      </c>
      <c r="H36" s="5">
        <v>38616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5">
        <v>116708</v>
      </c>
      <c r="F37" s="5">
        <v>111707</v>
      </c>
      <c r="G37" s="5">
        <v>105847</v>
      </c>
      <c r="H37" s="5">
        <v>101431</v>
      </c>
    </row>
    <row r="38" spans="1:8" x14ac:dyDescent="0.2">
      <c r="A38" s="3" t="s">
        <v>45</v>
      </c>
      <c r="B38" s="4" t="s">
        <v>58</v>
      </c>
      <c r="C38" s="4" t="s">
        <v>58</v>
      </c>
      <c r="D38" s="5">
        <v>19569</v>
      </c>
      <c r="E38" s="5">
        <v>20475</v>
      </c>
      <c r="F38" s="5">
        <v>23616</v>
      </c>
      <c r="G38" s="5">
        <v>21378</v>
      </c>
      <c r="H38" s="5">
        <v>20961</v>
      </c>
    </row>
    <row r="39" spans="1:8" x14ac:dyDescent="0.2">
      <c r="A39" s="3" t="s">
        <v>46</v>
      </c>
      <c r="B39" s="4" t="s">
        <v>58</v>
      </c>
      <c r="C39" s="5">
        <v>39112</v>
      </c>
      <c r="D39" s="5">
        <v>37876</v>
      </c>
      <c r="E39" s="5">
        <v>37354</v>
      </c>
      <c r="F39" s="5">
        <v>36443</v>
      </c>
      <c r="G39" s="5">
        <v>34643</v>
      </c>
      <c r="H39" s="5">
        <v>33442</v>
      </c>
    </row>
    <row r="40" spans="1:8" x14ac:dyDescent="0.2">
      <c r="A40" s="3" t="s">
        <v>47</v>
      </c>
      <c r="B40" s="4" t="s">
        <v>58</v>
      </c>
      <c r="C40" s="5">
        <v>50831</v>
      </c>
      <c r="D40" s="5">
        <v>48447</v>
      </c>
      <c r="E40" s="5">
        <v>49883</v>
      </c>
      <c r="F40" s="5">
        <v>49271</v>
      </c>
      <c r="G40" s="5">
        <v>52534</v>
      </c>
      <c r="H40" s="5">
        <v>54417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37681</v>
      </c>
      <c r="F41" s="5">
        <v>36728</v>
      </c>
      <c r="G41" s="5">
        <v>37877</v>
      </c>
      <c r="H41" s="5">
        <v>39824</v>
      </c>
    </row>
    <row r="42" spans="1:8" x14ac:dyDescent="0.2">
      <c r="A42" s="3" t="s">
        <v>49</v>
      </c>
      <c r="B42" s="4" t="s">
        <v>58</v>
      </c>
      <c r="C42" s="4" t="s">
        <v>58</v>
      </c>
      <c r="D42" s="5">
        <v>1128555</v>
      </c>
      <c r="E42" s="4" t="s">
        <v>58</v>
      </c>
      <c r="F42" s="5">
        <v>1194576</v>
      </c>
      <c r="G42" s="5">
        <v>1287174</v>
      </c>
      <c r="H42" s="5">
        <v>1082428</v>
      </c>
    </row>
    <row r="43" spans="1:8" x14ac:dyDescent="0.2">
      <c r="A43" s="3" t="s">
        <v>50</v>
      </c>
      <c r="B43" s="4" t="s">
        <v>58</v>
      </c>
      <c r="C43" s="5">
        <v>2329</v>
      </c>
      <c r="D43" s="5">
        <v>2320</v>
      </c>
      <c r="E43" s="5">
        <v>2437</v>
      </c>
      <c r="F43" s="5">
        <v>2042</v>
      </c>
      <c r="G43" s="5">
        <v>1848</v>
      </c>
      <c r="H43" s="5">
        <v>1833</v>
      </c>
    </row>
    <row r="44" spans="1:8" x14ac:dyDescent="0.2">
      <c r="A44" s="3" t="s">
        <v>51</v>
      </c>
      <c r="B44" s="4" t="s">
        <v>58</v>
      </c>
      <c r="C44" s="5">
        <v>389</v>
      </c>
      <c r="D44" s="5">
        <v>357</v>
      </c>
      <c r="E44" s="5">
        <v>349</v>
      </c>
      <c r="F44" s="5">
        <v>323</v>
      </c>
      <c r="G44" s="4" t="s">
        <v>58</v>
      </c>
      <c r="H44" s="5">
        <v>256</v>
      </c>
    </row>
    <row r="45" spans="1:8" x14ac:dyDescent="0.2">
      <c r="A45" s="3" t="s">
        <v>52</v>
      </c>
      <c r="B45" s="4" t="s">
        <v>58</v>
      </c>
      <c r="C45" s="4" t="s">
        <v>58</v>
      </c>
      <c r="D45" s="5">
        <v>31983</v>
      </c>
      <c r="E45" s="5">
        <v>30744</v>
      </c>
      <c r="F45" s="5">
        <v>31725</v>
      </c>
      <c r="G45" s="5">
        <v>29316</v>
      </c>
      <c r="H45" s="5">
        <v>29499</v>
      </c>
    </row>
    <row r="46" spans="1:8" x14ac:dyDescent="0.2">
      <c r="A46" s="3" t="s">
        <v>53</v>
      </c>
      <c r="B46" s="4" t="s">
        <v>58</v>
      </c>
      <c r="C46" s="5">
        <v>70302</v>
      </c>
      <c r="D46" s="5">
        <v>67850</v>
      </c>
      <c r="E46" s="5">
        <v>66177</v>
      </c>
      <c r="F46" s="5">
        <v>63889</v>
      </c>
      <c r="G46" s="5">
        <v>63480</v>
      </c>
      <c r="H46" s="5">
        <v>61944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4" t="s">
        <v>58</v>
      </c>
      <c r="E48" s="4" t="s">
        <v>58</v>
      </c>
      <c r="F48" s="4" t="s">
        <v>58</v>
      </c>
      <c r="G48" s="4" t="s">
        <v>58</v>
      </c>
      <c r="H48" s="4" t="s">
        <v>58</v>
      </c>
    </row>
    <row r="49" spans="1:8" x14ac:dyDescent="0.2">
      <c r="A49" s="3" t="s">
        <v>56</v>
      </c>
      <c r="B49" s="4" t="s">
        <v>58</v>
      </c>
      <c r="C49" s="5">
        <v>213172</v>
      </c>
      <c r="D49" s="5">
        <v>202858</v>
      </c>
      <c r="E49" s="5">
        <v>194998</v>
      </c>
      <c r="F49" s="5">
        <v>188410</v>
      </c>
      <c r="G49" s="5">
        <v>185384</v>
      </c>
      <c r="H49" s="5">
        <v>183678</v>
      </c>
    </row>
    <row r="50" spans="1:8" x14ac:dyDescent="0.2">
      <c r="A50" s="3" t="s">
        <v>57</v>
      </c>
      <c r="B50" s="4" t="s">
        <v>58</v>
      </c>
      <c r="C50" s="5">
        <v>731638</v>
      </c>
      <c r="D50" s="5">
        <v>826117</v>
      </c>
      <c r="E50" s="5">
        <v>1230470</v>
      </c>
      <c r="F50" s="5">
        <v>686384</v>
      </c>
      <c r="G50" s="5">
        <v>622282</v>
      </c>
      <c r="H50" s="5">
        <v>641367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zoomScaleNormal="100" workbookViewId="0">
      <selection activeCell="H17" sqref="H17"/>
    </sheetView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44002.107865983795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63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4" t="s">
        <v>58</v>
      </c>
      <c r="G13" s="4" t="s">
        <v>58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4" t="s">
        <v>58</v>
      </c>
      <c r="G14" s="4" t="s">
        <v>58</v>
      </c>
      <c r="H14" s="4" t="s">
        <v>58</v>
      </c>
    </row>
    <row r="15" spans="1:8" x14ac:dyDescent="0.2">
      <c r="A15" s="3" t="s">
        <v>22</v>
      </c>
      <c r="B15" s="4" t="s">
        <v>58</v>
      </c>
      <c r="C15" s="4" t="s">
        <v>58</v>
      </c>
      <c r="D15" s="4" t="s">
        <v>58</v>
      </c>
      <c r="E15" s="5">
        <v>21944</v>
      </c>
      <c r="F15" s="5">
        <v>22606</v>
      </c>
      <c r="G15" s="5">
        <v>20639</v>
      </c>
      <c r="H15" s="5">
        <v>20036</v>
      </c>
    </row>
    <row r="16" spans="1:8" x14ac:dyDescent="0.2">
      <c r="A16" s="3" t="s">
        <v>23</v>
      </c>
      <c r="B16" s="4" t="s">
        <v>58</v>
      </c>
      <c r="C16" s="5">
        <v>1137</v>
      </c>
      <c r="D16" s="5">
        <v>1021</v>
      </c>
      <c r="E16" s="5">
        <v>813</v>
      </c>
      <c r="F16" s="5">
        <v>684</v>
      </c>
      <c r="G16" s="5">
        <v>857</v>
      </c>
      <c r="H16" s="5">
        <v>484</v>
      </c>
    </row>
    <row r="17" spans="1:8" x14ac:dyDescent="0.2">
      <c r="A17" s="3" t="s">
        <v>24</v>
      </c>
      <c r="B17" s="4" t="s">
        <v>58</v>
      </c>
      <c r="C17" s="5">
        <v>58470</v>
      </c>
      <c r="D17" s="5">
        <v>61305</v>
      </c>
      <c r="E17" s="5">
        <v>69655</v>
      </c>
      <c r="F17" s="5">
        <v>58106</v>
      </c>
      <c r="G17" s="5">
        <v>52404</v>
      </c>
      <c r="H17" s="5">
        <v>11568</v>
      </c>
    </row>
    <row r="18" spans="1:8" x14ac:dyDescent="0.2">
      <c r="A18" s="3" t="s">
        <v>25</v>
      </c>
      <c r="B18" s="4" t="s">
        <v>58</v>
      </c>
      <c r="C18" s="4" t="s">
        <v>58</v>
      </c>
      <c r="D18" s="4" t="s">
        <v>58</v>
      </c>
      <c r="E18" s="4" t="s">
        <v>58</v>
      </c>
      <c r="F18" s="4" t="s">
        <v>58</v>
      </c>
      <c r="G18" s="4" t="s">
        <v>58</v>
      </c>
      <c r="H18" s="4" t="s">
        <v>58</v>
      </c>
    </row>
    <row r="19" spans="1:8" x14ac:dyDescent="0.2">
      <c r="A19" s="3" t="s">
        <v>26</v>
      </c>
      <c r="B19" s="5">
        <v>202002</v>
      </c>
      <c r="C19" s="5">
        <v>329771</v>
      </c>
      <c r="D19" s="5">
        <v>308465</v>
      </c>
      <c r="E19" s="5">
        <v>306426</v>
      </c>
      <c r="F19" s="5">
        <v>297321</v>
      </c>
      <c r="G19" s="5">
        <v>309792</v>
      </c>
      <c r="H19" s="5">
        <v>310588</v>
      </c>
    </row>
    <row r="20" spans="1:8" x14ac:dyDescent="0.2">
      <c r="A20" s="3" t="s">
        <v>27</v>
      </c>
      <c r="B20" s="4" t="s">
        <v>58</v>
      </c>
      <c r="C20" s="5">
        <v>5721</v>
      </c>
      <c r="D20" s="5">
        <v>6007</v>
      </c>
      <c r="E20" s="5">
        <v>5275</v>
      </c>
      <c r="F20" s="5">
        <v>3651</v>
      </c>
      <c r="G20" s="5">
        <v>2401</v>
      </c>
      <c r="H20" s="5">
        <v>1831</v>
      </c>
    </row>
    <row r="21" spans="1:8" x14ac:dyDescent="0.2">
      <c r="A21" s="3" t="s">
        <v>28</v>
      </c>
      <c r="B21" s="4" t="s">
        <v>58</v>
      </c>
      <c r="C21" s="5">
        <v>44639</v>
      </c>
      <c r="D21" s="5">
        <v>55652</v>
      </c>
      <c r="E21" s="5">
        <v>63324</v>
      </c>
      <c r="F21" s="5">
        <v>68299</v>
      </c>
      <c r="G21" s="5">
        <v>50689</v>
      </c>
      <c r="H21" s="5">
        <v>17560</v>
      </c>
    </row>
    <row r="22" spans="1:8" x14ac:dyDescent="0.2">
      <c r="A22" s="3" t="s">
        <v>29</v>
      </c>
      <c r="B22" s="4" t="s">
        <v>58</v>
      </c>
      <c r="C22" s="5">
        <v>7364</v>
      </c>
      <c r="D22" s="5">
        <v>13243</v>
      </c>
      <c r="E22" s="5">
        <v>34251</v>
      </c>
      <c r="F22" s="4" t="s">
        <v>58</v>
      </c>
      <c r="G22" s="4" t="s">
        <v>58</v>
      </c>
      <c r="H22" s="4" t="s">
        <v>58</v>
      </c>
    </row>
    <row r="23" spans="1:8" x14ac:dyDescent="0.2">
      <c r="A23" s="3" t="s">
        <v>30</v>
      </c>
      <c r="B23" s="4" t="s">
        <v>58</v>
      </c>
      <c r="C23" s="4" t="s">
        <v>58</v>
      </c>
      <c r="D23" s="5">
        <v>0</v>
      </c>
      <c r="E23" s="5">
        <v>26826</v>
      </c>
      <c r="F23" s="5">
        <v>23901</v>
      </c>
      <c r="G23" s="5">
        <v>24256</v>
      </c>
      <c r="H23" s="5">
        <v>25030</v>
      </c>
    </row>
    <row r="24" spans="1:8" x14ac:dyDescent="0.2">
      <c r="A24" s="3" t="s">
        <v>31</v>
      </c>
      <c r="B24" s="4" t="s">
        <v>58</v>
      </c>
      <c r="C24" s="4" t="s">
        <v>58</v>
      </c>
      <c r="D24" s="4" t="s">
        <v>58</v>
      </c>
      <c r="E24" s="4" t="s">
        <v>58</v>
      </c>
      <c r="F24" s="4" t="s">
        <v>58</v>
      </c>
      <c r="G24" s="5">
        <v>24259</v>
      </c>
      <c r="H24" s="5">
        <v>27169</v>
      </c>
    </row>
    <row r="25" spans="1:8" x14ac:dyDescent="0.2">
      <c r="A25" s="3" t="s">
        <v>32</v>
      </c>
      <c r="B25" s="4" t="s">
        <v>58</v>
      </c>
      <c r="C25" s="4" t="s">
        <v>58</v>
      </c>
      <c r="D25" s="4" t="s">
        <v>58</v>
      </c>
      <c r="E25" s="4" t="s">
        <v>58</v>
      </c>
      <c r="F25" s="4" t="s">
        <v>58</v>
      </c>
      <c r="G25" s="4" t="s">
        <v>58</v>
      </c>
      <c r="H25" s="4" t="s">
        <v>58</v>
      </c>
    </row>
    <row r="26" spans="1:8" x14ac:dyDescent="0.2">
      <c r="A26" s="3" t="s">
        <v>33</v>
      </c>
      <c r="B26" s="4" t="s">
        <v>58</v>
      </c>
      <c r="C26" s="5">
        <v>8181</v>
      </c>
      <c r="D26" s="4" t="s">
        <v>58</v>
      </c>
      <c r="E26" s="5">
        <v>1703</v>
      </c>
      <c r="F26" s="4" t="s">
        <v>58</v>
      </c>
      <c r="G26" s="4" t="s">
        <v>58</v>
      </c>
      <c r="H26" s="4" t="s">
        <v>58</v>
      </c>
    </row>
    <row r="27" spans="1:8" x14ac:dyDescent="0.2">
      <c r="A27" s="3" t="s">
        <v>34</v>
      </c>
      <c r="B27" s="4" t="s">
        <v>58</v>
      </c>
      <c r="C27" s="5">
        <v>176</v>
      </c>
      <c r="D27" s="5">
        <v>167</v>
      </c>
      <c r="E27" s="5">
        <v>165</v>
      </c>
      <c r="F27" s="5">
        <v>133</v>
      </c>
      <c r="G27" s="5">
        <v>142</v>
      </c>
      <c r="H27" s="4" t="s">
        <v>58</v>
      </c>
    </row>
    <row r="28" spans="1:8" x14ac:dyDescent="0.2">
      <c r="A28" s="3" t="s">
        <v>35</v>
      </c>
      <c r="B28" s="4" t="s">
        <v>58</v>
      </c>
      <c r="C28" s="5">
        <v>2595</v>
      </c>
      <c r="D28" s="5">
        <v>2732</v>
      </c>
      <c r="E28" s="5">
        <v>2994</v>
      </c>
      <c r="F28" s="5">
        <v>2877</v>
      </c>
      <c r="G28" s="5">
        <v>3362</v>
      </c>
      <c r="H28" s="5">
        <v>2857</v>
      </c>
    </row>
    <row r="29" spans="1:8" x14ac:dyDescent="0.2">
      <c r="A29" s="3" t="s">
        <v>36</v>
      </c>
      <c r="B29" s="4" t="s">
        <v>58</v>
      </c>
      <c r="C29" s="5">
        <v>9348</v>
      </c>
      <c r="D29" s="5">
        <v>10402</v>
      </c>
      <c r="E29" s="5">
        <v>11770</v>
      </c>
      <c r="F29" s="5">
        <v>12185</v>
      </c>
      <c r="G29" s="5">
        <v>13636</v>
      </c>
      <c r="H29" s="5">
        <v>9838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426</v>
      </c>
      <c r="E30" s="5">
        <v>272</v>
      </c>
      <c r="F30" s="5">
        <v>308</v>
      </c>
      <c r="G30" s="5">
        <v>243</v>
      </c>
      <c r="H30" s="5">
        <v>219</v>
      </c>
    </row>
    <row r="31" spans="1:8" x14ac:dyDescent="0.2">
      <c r="A31" s="3" t="s">
        <v>38</v>
      </c>
      <c r="B31" s="4" t="s">
        <v>58</v>
      </c>
      <c r="C31" s="5">
        <v>41326</v>
      </c>
      <c r="D31" s="5">
        <v>41755</v>
      </c>
      <c r="E31" s="5">
        <v>39592</v>
      </c>
      <c r="F31" s="5">
        <v>36114</v>
      </c>
      <c r="G31" s="5">
        <v>43071</v>
      </c>
      <c r="H31" s="5">
        <v>39214</v>
      </c>
    </row>
    <row r="32" spans="1:8" x14ac:dyDescent="0.2">
      <c r="A32" s="3" t="s">
        <v>39</v>
      </c>
      <c r="B32" s="4" t="s">
        <v>58</v>
      </c>
      <c r="C32" s="5">
        <v>61</v>
      </c>
      <c r="D32" s="5">
        <v>94</v>
      </c>
      <c r="E32" s="5">
        <v>136</v>
      </c>
      <c r="F32" s="5">
        <v>107</v>
      </c>
      <c r="G32" s="5">
        <v>84</v>
      </c>
      <c r="H32" s="5">
        <v>205</v>
      </c>
    </row>
    <row r="33" spans="1:8" x14ac:dyDescent="0.2">
      <c r="A33" s="3" t="s">
        <v>40</v>
      </c>
      <c r="B33" s="4" t="s">
        <v>58</v>
      </c>
      <c r="C33" s="5">
        <v>1571</v>
      </c>
      <c r="D33" s="5">
        <v>567</v>
      </c>
      <c r="E33" s="4" t="s">
        <v>58</v>
      </c>
      <c r="F33" s="4" t="s">
        <v>58</v>
      </c>
      <c r="G33" s="4" t="s">
        <v>58</v>
      </c>
      <c r="H33" s="4" t="s">
        <v>58</v>
      </c>
    </row>
    <row r="34" spans="1:8" x14ac:dyDescent="0.2">
      <c r="A34" s="3" t="s">
        <v>41</v>
      </c>
      <c r="B34" s="4" t="s">
        <v>58</v>
      </c>
      <c r="C34" s="5">
        <v>6135</v>
      </c>
      <c r="D34" s="5">
        <v>6469</v>
      </c>
      <c r="E34" s="5">
        <v>6579</v>
      </c>
      <c r="F34" s="5">
        <v>6169</v>
      </c>
      <c r="G34" s="5">
        <v>5631</v>
      </c>
      <c r="H34" s="5">
        <v>4938</v>
      </c>
    </row>
    <row r="35" spans="1:8" x14ac:dyDescent="0.2">
      <c r="A35" s="3" t="s">
        <v>42</v>
      </c>
      <c r="B35" s="4" t="s">
        <v>58</v>
      </c>
      <c r="C35" s="5">
        <v>227038</v>
      </c>
      <c r="D35" s="5">
        <v>227038</v>
      </c>
      <c r="E35" s="5">
        <v>184818</v>
      </c>
      <c r="F35" s="5">
        <v>185700</v>
      </c>
      <c r="G35" s="5">
        <v>177800</v>
      </c>
      <c r="H35" s="5">
        <v>169294</v>
      </c>
    </row>
    <row r="36" spans="1:8" x14ac:dyDescent="0.2">
      <c r="A36" s="3" t="s">
        <v>43</v>
      </c>
      <c r="B36" s="4" t="s">
        <v>58</v>
      </c>
      <c r="C36" s="5">
        <v>7848</v>
      </c>
      <c r="D36" s="5">
        <v>8083</v>
      </c>
      <c r="E36" s="5">
        <v>7089</v>
      </c>
      <c r="F36" s="5">
        <v>840</v>
      </c>
      <c r="G36" s="5">
        <v>693</v>
      </c>
      <c r="H36" s="5">
        <v>785</v>
      </c>
    </row>
    <row r="37" spans="1:8" x14ac:dyDescent="0.2">
      <c r="A37" s="3" t="s">
        <v>44</v>
      </c>
      <c r="B37" s="4" t="s">
        <v>58</v>
      </c>
      <c r="C37" s="5">
        <v>42864</v>
      </c>
      <c r="D37" s="5">
        <v>45560</v>
      </c>
      <c r="E37" s="5">
        <v>44490</v>
      </c>
      <c r="F37" s="5">
        <v>43047</v>
      </c>
      <c r="G37" s="5">
        <v>39584</v>
      </c>
      <c r="H37" s="5">
        <v>40420</v>
      </c>
    </row>
    <row r="38" spans="1:8" x14ac:dyDescent="0.2">
      <c r="A38" s="3" t="s">
        <v>45</v>
      </c>
      <c r="B38" s="4" t="s">
        <v>58</v>
      </c>
      <c r="C38" s="4" t="s">
        <v>58</v>
      </c>
      <c r="D38" s="4" t="s">
        <v>58</v>
      </c>
      <c r="E38" s="4" t="s">
        <v>58</v>
      </c>
      <c r="F38" s="4" t="s">
        <v>58</v>
      </c>
      <c r="G38" s="4" t="s">
        <v>58</v>
      </c>
      <c r="H38" s="4" t="s">
        <v>58</v>
      </c>
    </row>
    <row r="39" spans="1:8" x14ac:dyDescent="0.2">
      <c r="A39" s="3" t="s">
        <v>46</v>
      </c>
      <c r="B39" s="4" t="s">
        <v>58</v>
      </c>
      <c r="C39" s="5">
        <v>10567</v>
      </c>
      <c r="D39" s="5">
        <v>9765</v>
      </c>
      <c r="E39" s="5">
        <v>9088</v>
      </c>
      <c r="F39" s="5">
        <v>8726</v>
      </c>
      <c r="G39" s="5">
        <v>8756</v>
      </c>
      <c r="H39" s="5">
        <v>8166</v>
      </c>
    </row>
    <row r="40" spans="1:8" x14ac:dyDescent="0.2">
      <c r="A40" s="3" t="s">
        <v>47</v>
      </c>
      <c r="B40" s="4" t="s">
        <v>58</v>
      </c>
      <c r="C40" s="5">
        <v>8162</v>
      </c>
      <c r="D40" s="5">
        <v>7016</v>
      </c>
      <c r="E40" s="5">
        <v>8489</v>
      </c>
      <c r="F40" s="5">
        <v>8595</v>
      </c>
      <c r="G40" s="5">
        <v>9051</v>
      </c>
      <c r="H40" s="5">
        <v>9032</v>
      </c>
    </row>
    <row r="41" spans="1:8" x14ac:dyDescent="0.2">
      <c r="A41" s="3" t="s">
        <v>48</v>
      </c>
      <c r="B41" s="4" t="s">
        <v>58</v>
      </c>
      <c r="C41" s="5">
        <v>13515</v>
      </c>
      <c r="D41" s="5">
        <v>14030</v>
      </c>
      <c r="E41" s="5">
        <v>13727</v>
      </c>
      <c r="F41" s="5">
        <v>11247</v>
      </c>
      <c r="G41" s="5">
        <v>16240</v>
      </c>
      <c r="H41" s="5">
        <v>13688</v>
      </c>
    </row>
    <row r="42" spans="1:8" x14ac:dyDescent="0.2">
      <c r="A42" s="3" t="s">
        <v>49</v>
      </c>
      <c r="B42" s="4" t="s">
        <v>58</v>
      </c>
      <c r="C42" s="4" t="s">
        <v>58</v>
      </c>
      <c r="D42" s="4" t="s">
        <v>58</v>
      </c>
      <c r="E42" s="4" t="s">
        <v>58</v>
      </c>
      <c r="F42" s="4" t="s">
        <v>58</v>
      </c>
      <c r="G42" s="4" t="s">
        <v>58</v>
      </c>
      <c r="H42" s="4" t="s">
        <v>58</v>
      </c>
    </row>
    <row r="43" spans="1:8" x14ac:dyDescent="0.2">
      <c r="A43" s="3" t="s">
        <v>50</v>
      </c>
      <c r="B43" s="4" t="s">
        <v>58</v>
      </c>
      <c r="C43" s="5">
        <v>475</v>
      </c>
      <c r="D43" s="5">
        <v>524</v>
      </c>
      <c r="E43" s="5">
        <v>485</v>
      </c>
      <c r="F43" s="5">
        <v>469</v>
      </c>
      <c r="G43" s="5">
        <v>630</v>
      </c>
      <c r="H43" s="5">
        <v>796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4" t="s">
        <v>58</v>
      </c>
      <c r="F44" s="4" t="s">
        <v>58</v>
      </c>
      <c r="G44" s="4" t="s">
        <v>58</v>
      </c>
      <c r="H44" s="5">
        <v>0</v>
      </c>
    </row>
    <row r="45" spans="1:8" x14ac:dyDescent="0.2">
      <c r="A45" s="3" t="s">
        <v>52</v>
      </c>
      <c r="B45" s="4" t="s">
        <v>58</v>
      </c>
      <c r="C45" s="5">
        <v>2326</v>
      </c>
      <c r="D45" s="5">
        <v>3036</v>
      </c>
      <c r="E45" s="5">
        <v>4275</v>
      </c>
      <c r="F45" s="5">
        <v>4357</v>
      </c>
      <c r="G45" s="5">
        <v>4552</v>
      </c>
      <c r="H45" s="5">
        <v>4955</v>
      </c>
    </row>
    <row r="46" spans="1:8" x14ac:dyDescent="0.2">
      <c r="A46" s="3" t="s">
        <v>53</v>
      </c>
      <c r="B46" s="4" t="s">
        <v>58</v>
      </c>
      <c r="C46" s="5">
        <v>9174</v>
      </c>
      <c r="D46" s="5">
        <v>8197</v>
      </c>
      <c r="E46" s="5">
        <v>8899</v>
      </c>
      <c r="F46" s="5">
        <v>8786</v>
      </c>
      <c r="G46" s="5">
        <v>8830</v>
      </c>
      <c r="H46" s="5">
        <v>8654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5">
        <v>340</v>
      </c>
      <c r="D48" s="5">
        <v>303</v>
      </c>
      <c r="E48" s="5">
        <v>223</v>
      </c>
      <c r="F48" s="5">
        <v>292</v>
      </c>
      <c r="G48" s="5">
        <v>417</v>
      </c>
      <c r="H48" s="4" t="s">
        <v>58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4" t="s">
        <v>58</v>
      </c>
      <c r="G49" s="4" t="s">
        <v>58</v>
      </c>
      <c r="H49" s="5">
        <v>1331</v>
      </c>
    </row>
    <row r="50" spans="1:8" x14ac:dyDescent="0.2">
      <c r="A50" s="3" t="s">
        <v>57</v>
      </c>
      <c r="B50" s="4" t="s">
        <v>58</v>
      </c>
      <c r="C50" s="4" t="s">
        <v>58</v>
      </c>
      <c r="D50" s="4" t="s">
        <v>58</v>
      </c>
      <c r="E50" s="4" t="s">
        <v>58</v>
      </c>
      <c r="F50" s="4" t="s">
        <v>58</v>
      </c>
      <c r="G50" s="4" t="s">
        <v>58</v>
      </c>
      <c r="H50" s="4" t="s">
        <v>58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zoomScaleNormal="100" workbookViewId="0">
      <selection activeCell="H17" sqref="H17"/>
    </sheetView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44002.107865995371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64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4" t="s">
        <v>58</v>
      </c>
      <c r="G13" s="4" t="s">
        <v>58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4" t="s">
        <v>58</v>
      </c>
      <c r="G14" s="4" t="s">
        <v>58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86</v>
      </c>
      <c r="D15" s="5">
        <v>90</v>
      </c>
      <c r="E15" s="5">
        <v>120</v>
      </c>
      <c r="F15" s="5">
        <v>102</v>
      </c>
      <c r="G15" s="5">
        <v>130</v>
      </c>
      <c r="H15" s="5">
        <v>142</v>
      </c>
    </row>
    <row r="16" spans="1:8" x14ac:dyDescent="0.2">
      <c r="A16" s="3" t="s">
        <v>23</v>
      </c>
      <c r="B16" s="4" t="s">
        <v>58</v>
      </c>
      <c r="C16" s="4" t="s">
        <v>58</v>
      </c>
      <c r="D16" s="4" t="s">
        <v>58</v>
      </c>
      <c r="E16" s="4" t="s">
        <v>58</v>
      </c>
      <c r="F16" s="4" t="s">
        <v>58</v>
      </c>
      <c r="G16" s="4" t="s">
        <v>58</v>
      </c>
      <c r="H16" s="4" t="s">
        <v>58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55713</v>
      </c>
      <c r="F17" s="5">
        <v>50725</v>
      </c>
      <c r="G17" s="5">
        <v>46472</v>
      </c>
      <c r="H17" s="5">
        <v>5712</v>
      </c>
    </row>
    <row r="18" spans="1:8" x14ac:dyDescent="0.2">
      <c r="A18" s="3" t="s">
        <v>25</v>
      </c>
      <c r="B18" s="4" t="s">
        <v>58</v>
      </c>
      <c r="C18" s="4" t="s">
        <v>58</v>
      </c>
      <c r="D18" s="4" t="s">
        <v>58</v>
      </c>
      <c r="E18" s="4" t="s">
        <v>58</v>
      </c>
      <c r="F18" s="4" t="s">
        <v>58</v>
      </c>
      <c r="G18" s="4" t="s">
        <v>58</v>
      </c>
      <c r="H18" s="4" t="s">
        <v>58</v>
      </c>
    </row>
    <row r="19" spans="1:8" x14ac:dyDescent="0.2">
      <c r="A19" s="3" t="s">
        <v>26</v>
      </c>
      <c r="B19" s="4" t="s">
        <v>58</v>
      </c>
      <c r="C19" s="5">
        <v>50772</v>
      </c>
      <c r="D19" s="5">
        <v>46488</v>
      </c>
      <c r="E19" s="5">
        <v>45125</v>
      </c>
      <c r="F19" s="5">
        <v>41054</v>
      </c>
      <c r="G19" s="5">
        <v>37084</v>
      </c>
      <c r="H19" s="5">
        <v>33119</v>
      </c>
    </row>
    <row r="20" spans="1:8" x14ac:dyDescent="0.2">
      <c r="A20" s="3" t="s">
        <v>27</v>
      </c>
      <c r="B20" s="4" t="s">
        <v>58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</row>
    <row r="21" spans="1:8" x14ac:dyDescent="0.2">
      <c r="A21" s="3" t="s">
        <v>28</v>
      </c>
      <c r="B21" s="4" t="s">
        <v>58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4" t="s">
        <v>58</v>
      </c>
    </row>
    <row r="22" spans="1:8" x14ac:dyDescent="0.2">
      <c r="A22" s="3" t="s">
        <v>29</v>
      </c>
      <c r="B22" s="4" t="s">
        <v>58</v>
      </c>
      <c r="C22" s="4" t="s">
        <v>58</v>
      </c>
      <c r="D22" s="4" t="s">
        <v>58</v>
      </c>
      <c r="E22" s="4" t="s">
        <v>58</v>
      </c>
      <c r="F22" s="4" t="s">
        <v>58</v>
      </c>
      <c r="G22" s="4" t="s">
        <v>58</v>
      </c>
      <c r="H22" s="4" t="s">
        <v>58</v>
      </c>
    </row>
    <row r="23" spans="1:8" x14ac:dyDescent="0.2">
      <c r="A23" s="3" t="s">
        <v>30</v>
      </c>
      <c r="B23" s="4" t="s">
        <v>58</v>
      </c>
      <c r="C23" s="4" t="s">
        <v>58</v>
      </c>
      <c r="D23" s="4" t="s">
        <v>58</v>
      </c>
      <c r="E23" s="4" t="s">
        <v>58</v>
      </c>
      <c r="F23" s="4" t="s">
        <v>58</v>
      </c>
      <c r="G23" s="4" t="s">
        <v>58</v>
      </c>
      <c r="H23" s="4" t="s">
        <v>58</v>
      </c>
    </row>
    <row r="24" spans="1:8" x14ac:dyDescent="0.2">
      <c r="A24" s="3" t="s">
        <v>31</v>
      </c>
      <c r="B24" s="4" t="s">
        <v>58</v>
      </c>
      <c r="C24" s="4" t="s">
        <v>58</v>
      </c>
      <c r="D24" s="4" t="s">
        <v>58</v>
      </c>
      <c r="E24" s="4" t="s">
        <v>58</v>
      </c>
      <c r="F24" s="4" t="s">
        <v>58</v>
      </c>
      <c r="G24" s="4" t="s">
        <v>58</v>
      </c>
      <c r="H24" s="5">
        <v>10124</v>
      </c>
    </row>
    <row r="25" spans="1:8" x14ac:dyDescent="0.2">
      <c r="A25" s="3" t="s">
        <v>32</v>
      </c>
      <c r="B25" s="4" t="s">
        <v>58</v>
      </c>
      <c r="C25" s="4" t="s">
        <v>58</v>
      </c>
      <c r="D25" s="4" t="s">
        <v>58</v>
      </c>
      <c r="E25" s="4" t="s">
        <v>58</v>
      </c>
      <c r="F25" s="4" t="s">
        <v>58</v>
      </c>
      <c r="G25" s="4" t="s">
        <v>58</v>
      </c>
      <c r="H25" s="4" t="s">
        <v>58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4" t="s">
        <v>58</v>
      </c>
      <c r="F26" s="4" t="s">
        <v>58</v>
      </c>
      <c r="G26" s="4" t="s">
        <v>58</v>
      </c>
      <c r="H26" s="4" t="s">
        <v>58</v>
      </c>
    </row>
    <row r="27" spans="1:8" x14ac:dyDescent="0.2">
      <c r="A27" s="3" t="s">
        <v>34</v>
      </c>
      <c r="B27" s="4" t="s">
        <v>58</v>
      </c>
      <c r="C27" s="4" t="s">
        <v>58</v>
      </c>
      <c r="D27" s="4" t="s">
        <v>58</v>
      </c>
      <c r="E27" s="4" t="s">
        <v>58</v>
      </c>
      <c r="F27" s="4" t="s">
        <v>58</v>
      </c>
      <c r="G27" s="4" t="s">
        <v>58</v>
      </c>
      <c r="H27" s="4" t="s">
        <v>58</v>
      </c>
    </row>
    <row r="28" spans="1:8" x14ac:dyDescent="0.2">
      <c r="A28" s="3" t="s">
        <v>35</v>
      </c>
      <c r="B28" s="4" t="s">
        <v>58</v>
      </c>
      <c r="C28" s="4" t="s">
        <v>58</v>
      </c>
      <c r="D28" s="4" t="s">
        <v>58</v>
      </c>
      <c r="E28" s="4" t="s">
        <v>58</v>
      </c>
      <c r="F28" s="4" t="s">
        <v>58</v>
      </c>
      <c r="G28" s="4" t="s">
        <v>58</v>
      </c>
      <c r="H28" s="4" t="s">
        <v>58</v>
      </c>
    </row>
    <row r="29" spans="1:8" x14ac:dyDescent="0.2">
      <c r="A29" s="3" t="s">
        <v>36</v>
      </c>
      <c r="B29" s="4" t="s">
        <v>58</v>
      </c>
      <c r="C29" s="4" t="s">
        <v>58</v>
      </c>
      <c r="D29" s="4" t="s">
        <v>58</v>
      </c>
      <c r="E29" s="4" t="s">
        <v>58</v>
      </c>
      <c r="F29" s="4" t="s">
        <v>58</v>
      </c>
      <c r="G29" s="4" t="s">
        <v>58</v>
      </c>
      <c r="H29" s="4" t="s">
        <v>58</v>
      </c>
    </row>
    <row r="30" spans="1:8" x14ac:dyDescent="0.2">
      <c r="A30" s="3" t="s">
        <v>37</v>
      </c>
      <c r="B30" s="4" t="s">
        <v>58</v>
      </c>
      <c r="C30" s="4" t="s">
        <v>58</v>
      </c>
      <c r="D30" s="4" t="s">
        <v>58</v>
      </c>
      <c r="E30" s="4" t="s">
        <v>58</v>
      </c>
      <c r="F30" s="4" t="s">
        <v>58</v>
      </c>
      <c r="G30" s="4" t="s">
        <v>58</v>
      </c>
      <c r="H30" s="4" t="s">
        <v>58</v>
      </c>
    </row>
    <row r="31" spans="1:8" x14ac:dyDescent="0.2">
      <c r="A31" s="3" t="s">
        <v>38</v>
      </c>
      <c r="B31" s="4" t="s">
        <v>58</v>
      </c>
      <c r="C31" s="4" t="s">
        <v>58</v>
      </c>
      <c r="D31" s="4" t="s">
        <v>58</v>
      </c>
      <c r="E31" s="4" t="s">
        <v>58</v>
      </c>
      <c r="F31" s="4" t="s">
        <v>58</v>
      </c>
      <c r="G31" s="4" t="s">
        <v>58</v>
      </c>
      <c r="H31" s="4" t="s">
        <v>58</v>
      </c>
    </row>
    <row r="32" spans="1:8" x14ac:dyDescent="0.2">
      <c r="A32" s="3" t="s">
        <v>39</v>
      </c>
      <c r="B32" s="4" t="s">
        <v>58</v>
      </c>
      <c r="C32" s="5">
        <v>61</v>
      </c>
      <c r="D32" s="5">
        <v>94</v>
      </c>
      <c r="E32" s="5">
        <v>136</v>
      </c>
      <c r="F32" s="5">
        <v>107</v>
      </c>
      <c r="G32" s="5">
        <v>84</v>
      </c>
      <c r="H32" s="5">
        <v>225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4" t="s">
        <v>58</v>
      </c>
      <c r="F33" s="4" t="s">
        <v>58</v>
      </c>
      <c r="G33" s="4" t="s">
        <v>58</v>
      </c>
      <c r="H33" s="4" t="s">
        <v>58</v>
      </c>
    </row>
    <row r="34" spans="1:8" x14ac:dyDescent="0.2">
      <c r="A34" s="3" t="s">
        <v>41</v>
      </c>
      <c r="B34" s="4" t="s">
        <v>58</v>
      </c>
      <c r="C34" s="4" t="s">
        <v>58</v>
      </c>
      <c r="D34" s="4" t="s">
        <v>58</v>
      </c>
      <c r="E34" s="4" t="s">
        <v>58</v>
      </c>
      <c r="F34" s="4" t="s">
        <v>58</v>
      </c>
      <c r="G34" s="4" t="s">
        <v>58</v>
      </c>
      <c r="H34" s="4" t="s">
        <v>58</v>
      </c>
    </row>
    <row r="35" spans="1:8" x14ac:dyDescent="0.2">
      <c r="A35" s="3" t="s">
        <v>42</v>
      </c>
      <c r="B35" s="4" t="s">
        <v>58</v>
      </c>
      <c r="C35" s="4" t="s">
        <v>58</v>
      </c>
      <c r="D35" s="4" t="s">
        <v>58</v>
      </c>
      <c r="E35" s="4" t="s">
        <v>58</v>
      </c>
      <c r="F35" s="4" t="s">
        <v>58</v>
      </c>
      <c r="G35" s="4" t="s">
        <v>58</v>
      </c>
      <c r="H35" s="4" t="s">
        <v>58</v>
      </c>
    </row>
    <row r="36" spans="1:8" x14ac:dyDescent="0.2">
      <c r="A36" s="3" t="s">
        <v>43</v>
      </c>
      <c r="B36" s="4" t="s">
        <v>58</v>
      </c>
      <c r="C36" s="4" t="s">
        <v>58</v>
      </c>
      <c r="D36" s="4" t="s">
        <v>58</v>
      </c>
      <c r="E36" s="4" t="s">
        <v>58</v>
      </c>
      <c r="F36" s="4" t="s">
        <v>58</v>
      </c>
      <c r="G36" s="4" t="s">
        <v>58</v>
      </c>
      <c r="H36" s="4" t="s">
        <v>58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4" t="s">
        <v>58</v>
      </c>
      <c r="F37" s="4" t="s">
        <v>58</v>
      </c>
      <c r="G37" s="4" t="s">
        <v>58</v>
      </c>
      <c r="H37" s="4" t="s">
        <v>58</v>
      </c>
    </row>
    <row r="38" spans="1:8" x14ac:dyDescent="0.2">
      <c r="A38" s="3" t="s">
        <v>45</v>
      </c>
      <c r="B38" s="4" t="s">
        <v>58</v>
      </c>
      <c r="C38" s="4" t="s">
        <v>58</v>
      </c>
      <c r="D38" s="4" t="s">
        <v>58</v>
      </c>
      <c r="E38" s="4" t="s">
        <v>58</v>
      </c>
      <c r="F38" s="4" t="s">
        <v>58</v>
      </c>
      <c r="G38" s="4" t="s">
        <v>58</v>
      </c>
      <c r="H38" s="4" t="s">
        <v>58</v>
      </c>
    </row>
    <row r="39" spans="1:8" x14ac:dyDescent="0.2">
      <c r="A39" s="3" t="s">
        <v>46</v>
      </c>
      <c r="B39" s="4" t="s">
        <v>58</v>
      </c>
      <c r="C39" s="4" t="s">
        <v>58</v>
      </c>
      <c r="D39" s="4" t="s">
        <v>58</v>
      </c>
      <c r="E39" s="4" t="s">
        <v>58</v>
      </c>
      <c r="F39" s="4" t="s">
        <v>58</v>
      </c>
      <c r="G39" s="4" t="s">
        <v>58</v>
      </c>
      <c r="H39" s="4" t="s">
        <v>58</v>
      </c>
    </row>
    <row r="40" spans="1:8" x14ac:dyDescent="0.2">
      <c r="A40" s="3" t="s">
        <v>47</v>
      </c>
      <c r="B40" s="4" t="s">
        <v>58</v>
      </c>
      <c r="C40" s="4" t="s">
        <v>58</v>
      </c>
      <c r="D40" s="4" t="s">
        <v>58</v>
      </c>
      <c r="E40" s="4" t="s">
        <v>58</v>
      </c>
      <c r="F40" s="4" t="s">
        <v>58</v>
      </c>
      <c r="G40" s="4" t="s">
        <v>58</v>
      </c>
      <c r="H40" s="4" t="s">
        <v>58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5082</v>
      </c>
      <c r="F41" s="5">
        <v>3904</v>
      </c>
      <c r="G41" s="5">
        <v>7326</v>
      </c>
      <c r="H41" s="5">
        <v>5273</v>
      </c>
    </row>
    <row r="42" spans="1:8" x14ac:dyDescent="0.2">
      <c r="A42" s="3" t="s">
        <v>49</v>
      </c>
      <c r="B42" s="4" t="s">
        <v>58</v>
      </c>
      <c r="C42" s="4" t="s">
        <v>58</v>
      </c>
      <c r="D42" s="4" t="s">
        <v>58</v>
      </c>
      <c r="E42" s="4" t="s">
        <v>58</v>
      </c>
      <c r="F42" s="4" t="s">
        <v>58</v>
      </c>
      <c r="G42" s="4" t="s">
        <v>58</v>
      </c>
      <c r="H42" s="4" t="s">
        <v>58</v>
      </c>
    </row>
    <row r="43" spans="1:8" x14ac:dyDescent="0.2">
      <c r="A43" s="3" t="s">
        <v>50</v>
      </c>
      <c r="B43" s="4" t="s">
        <v>58</v>
      </c>
      <c r="C43" s="5">
        <v>0</v>
      </c>
      <c r="D43" s="5">
        <v>14</v>
      </c>
      <c r="E43" s="5">
        <v>0</v>
      </c>
      <c r="F43" s="5">
        <v>0</v>
      </c>
      <c r="G43" s="5">
        <v>14</v>
      </c>
      <c r="H43" s="5">
        <v>15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4" t="s">
        <v>58</v>
      </c>
      <c r="F44" s="4" t="s">
        <v>58</v>
      </c>
      <c r="G44" s="4" t="s">
        <v>58</v>
      </c>
      <c r="H44" s="4" t="s">
        <v>58</v>
      </c>
    </row>
    <row r="45" spans="1:8" x14ac:dyDescent="0.2">
      <c r="A45" s="3" t="s">
        <v>52</v>
      </c>
      <c r="B45" s="4" t="s">
        <v>58</v>
      </c>
      <c r="C45" s="4" t="s">
        <v>58</v>
      </c>
      <c r="D45" s="4" t="s">
        <v>58</v>
      </c>
      <c r="E45" s="4" t="s">
        <v>58</v>
      </c>
      <c r="F45" s="4" t="s">
        <v>58</v>
      </c>
      <c r="G45" s="4" t="s">
        <v>58</v>
      </c>
      <c r="H45" s="4" t="s">
        <v>58</v>
      </c>
    </row>
    <row r="46" spans="1:8" x14ac:dyDescent="0.2">
      <c r="A46" s="3" t="s">
        <v>53</v>
      </c>
      <c r="B46" s="4" t="s">
        <v>58</v>
      </c>
      <c r="C46" s="5">
        <v>9174</v>
      </c>
      <c r="D46" s="5">
        <v>8197</v>
      </c>
      <c r="E46" s="5">
        <v>1870</v>
      </c>
      <c r="F46" s="5">
        <v>2169</v>
      </c>
      <c r="G46" s="5">
        <v>2409</v>
      </c>
      <c r="H46" s="5">
        <v>2767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4" t="s">
        <v>58</v>
      </c>
      <c r="E48" s="4" t="s">
        <v>58</v>
      </c>
      <c r="F48" s="4" t="s">
        <v>58</v>
      </c>
      <c r="G48" s="4" t="s">
        <v>58</v>
      </c>
      <c r="H48" s="4" t="s">
        <v>58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4" t="s">
        <v>58</v>
      </c>
      <c r="G49" s="4" t="s">
        <v>58</v>
      </c>
      <c r="H49" s="4" t="s">
        <v>58</v>
      </c>
    </row>
    <row r="50" spans="1:8" x14ac:dyDescent="0.2">
      <c r="A50" s="3" t="s">
        <v>57</v>
      </c>
      <c r="B50" s="4" t="s">
        <v>58</v>
      </c>
      <c r="C50" s="4" t="s">
        <v>58</v>
      </c>
      <c r="D50" s="4" t="s">
        <v>58</v>
      </c>
      <c r="E50" s="4" t="s">
        <v>58</v>
      </c>
      <c r="F50" s="4" t="s">
        <v>58</v>
      </c>
      <c r="G50" s="4" t="s">
        <v>58</v>
      </c>
      <c r="H50" s="4" t="s">
        <v>58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topLeftCell="A2" zoomScaleNormal="100" workbookViewId="0">
      <selection activeCell="H18" sqref="H18"/>
    </sheetView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44002.107865995371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65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4" t="s">
        <v>58</v>
      </c>
      <c r="G13" s="4" t="s">
        <v>58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4" t="s">
        <v>58</v>
      </c>
      <c r="G14" s="4" t="s">
        <v>58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20624</v>
      </c>
      <c r="D15" s="5">
        <v>21179</v>
      </c>
      <c r="E15" s="5">
        <v>21824</v>
      </c>
      <c r="F15" s="5">
        <v>22504</v>
      </c>
      <c r="G15" s="5">
        <v>20509</v>
      </c>
      <c r="H15" s="5">
        <v>19894</v>
      </c>
    </row>
    <row r="16" spans="1:8" x14ac:dyDescent="0.2">
      <c r="A16" s="3" t="s">
        <v>23</v>
      </c>
      <c r="B16" s="4" t="s">
        <v>58</v>
      </c>
      <c r="C16" s="5">
        <v>1137</v>
      </c>
      <c r="D16" s="5">
        <v>1021</v>
      </c>
      <c r="E16" s="5">
        <v>813</v>
      </c>
      <c r="F16" s="5">
        <v>704</v>
      </c>
      <c r="G16" s="5">
        <v>866</v>
      </c>
      <c r="H16" s="5">
        <v>487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13942</v>
      </c>
      <c r="F17" s="5">
        <v>7381</v>
      </c>
      <c r="G17" s="5">
        <v>5932</v>
      </c>
      <c r="H17" s="5">
        <v>5856</v>
      </c>
    </row>
    <row r="18" spans="1:8" x14ac:dyDescent="0.2">
      <c r="A18" s="3" t="s">
        <v>25</v>
      </c>
      <c r="B18" s="4" t="s">
        <v>58</v>
      </c>
      <c r="C18" s="4" t="s">
        <v>58</v>
      </c>
      <c r="D18" s="4" t="s">
        <v>58</v>
      </c>
      <c r="E18" s="4" t="s">
        <v>58</v>
      </c>
      <c r="F18" s="4" t="s">
        <v>58</v>
      </c>
      <c r="G18" s="4" t="s">
        <v>58</v>
      </c>
      <c r="H18" s="4" t="s">
        <v>58</v>
      </c>
    </row>
    <row r="19" spans="1:8" x14ac:dyDescent="0.2">
      <c r="A19" s="3" t="s">
        <v>26</v>
      </c>
      <c r="B19" s="4" t="s">
        <v>58</v>
      </c>
      <c r="C19" s="5">
        <v>278999</v>
      </c>
      <c r="D19" s="5">
        <v>261977</v>
      </c>
      <c r="E19" s="5">
        <v>261302</v>
      </c>
      <c r="F19" s="5">
        <v>256267</v>
      </c>
      <c r="G19" s="5">
        <v>272708</v>
      </c>
      <c r="H19" s="5">
        <v>277469</v>
      </c>
    </row>
    <row r="20" spans="1:8" x14ac:dyDescent="0.2">
      <c r="A20" s="3" t="s">
        <v>27</v>
      </c>
      <c r="B20" s="4" t="s">
        <v>58</v>
      </c>
      <c r="C20" s="5">
        <v>5721</v>
      </c>
      <c r="D20" s="5">
        <v>6007</v>
      </c>
      <c r="E20" s="5">
        <v>5275</v>
      </c>
      <c r="F20" s="5">
        <v>3651</v>
      </c>
      <c r="G20" s="5">
        <v>2401</v>
      </c>
      <c r="H20" s="5">
        <v>1831</v>
      </c>
    </row>
    <row r="21" spans="1:8" x14ac:dyDescent="0.2">
      <c r="A21" s="3" t="s">
        <v>28</v>
      </c>
      <c r="B21" s="4" t="s">
        <v>58</v>
      </c>
      <c r="C21" s="4" t="s">
        <v>58</v>
      </c>
      <c r="D21" s="5">
        <v>55652</v>
      </c>
      <c r="E21" s="5">
        <v>63324</v>
      </c>
      <c r="F21" s="5">
        <v>68299</v>
      </c>
      <c r="G21" s="5">
        <v>50689</v>
      </c>
      <c r="H21" s="5">
        <v>17560</v>
      </c>
    </row>
    <row r="22" spans="1:8" x14ac:dyDescent="0.2">
      <c r="A22" s="3" t="s">
        <v>29</v>
      </c>
      <c r="B22" s="4" t="s">
        <v>58</v>
      </c>
      <c r="C22" s="5">
        <v>7364</v>
      </c>
      <c r="D22" s="5">
        <v>13243</v>
      </c>
      <c r="E22" s="5">
        <v>34251</v>
      </c>
      <c r="F22" s="5">
        <v>36287</v>
      </c>
      <c r="G22" s="5">
        <v>37218</v>
      </c>
      <c r="H22" s="4" t="s">
        <v>58</v>
      </c>
    </row>
    <row r="23" spans="1:8" x14ac:dyDescent="0.2">
      <c r="A23" s="3" t="s">
        <v>30</v>
      </c>
      <c r="B23" s="4" t="s">
        <v>58</v>
      </c>
      <c r="C23" s="4" t="s">
        <v>58</v>
      </c>
      <c r="D23" s="5">
        <v>0</v>
      </c>
      <c r="E23" s="5">
        <v>26826</v>
      </c>
      <c r="F23" s="5">
        <v>23901</v>
      </c>
      <c r="G23" s="5">
        <v>24256</v>
      </c>
      <c r="H23" s="5">
        <v>25030</v>
      </c>
    </row>
    <row r="24" spans="1:8" x14ac:dyDescent="0.2">
      <c r="A24" s="3" t="s">
        <v>31</v>
      </c>
      <c r="B24" s="4" t="s">
        <v>58</v>
      </c>
      <c r="C24" s="4" t="s">
        <v>58</v>
      </c>
      <c r="D24" s="4" t="s">
        <v>58</v>
      </c>
      <c r="E24" s="4" t="s">
        <v>58</v>
      </c>
      <c r="F24" s="4" t="s">
        <v>58</v>
      </c>
      <c r="G24" s="4" t="s">
        <v>58</v>
      </c>
      <c r="H24" s="5">
        <v>17045</v>
      </c>
    </row>
    <row r="25" spans="1:8" x14ac:dyDescent="0.2">
      <c r="A25" s="3" t="s">
        <v>32</v>
      </c>
      <c r="B25" s="4" t="s">
        <v>58</v>
      </c>
      <c r="C25" s="4" t="s">
        <v>58</v>
      </c>
      <c r="D25" s="4" t="s">
        <v>58</v>
      </c>
      <c r="E25" s="4" t="s">
        <v>58</v>
      </c>
      <c r="F25" s="4" t="s">
        <v>58</v>
      </c>
      <c r="G25" s="4" t="s">
        <v>58</v>
      </c>
      <c r="H25" s="4" t="s">
        <v>58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4" t="s">
        <v>58</v>
      </c>
      <c r="F26" s="4" t="s">
        <v>58</v>
      </c>
      <c r="G26" s="4" t="s">
        <v>58</v>
      </c>
      <c r="H26" s="4" t="s">
        <v>58</v>
      </c>
    </row>
    <row r="27" spans="1:8" x14ac:dyDescent="0.2">
      <c r="A27" s="3" t="s">
        <v>34</v>
      </c>
      <c r="B27" s="4" t="s">
        <v>58</v>
      </c>
      <c r="C27" s="5">
        <v>176</v>
      </c>
      <c r="D27" s="5">
        <v>167</v>
      </c>
      <c r="E27" s="5">
        <v>165</v>
      </c>
      <c r="F27" s="5">
        <v>133</v>
      </c>
      <c r="G27" s="5">
        <v>142</v>
      </c>
      <c r="H27" s="4" t="s">
        <v>58</v>
      </c>
    </row>
    <row r="28" spans="1:8" x14ac:dyDescent="0.2">
      <c r="A28" s="3" t="s">
        <v>35</v>
      </c>
      <c r="B28" s="4" t="s">
        <v>58</v>
      </c>
      <c r="C28" s="5">
        <v>2595</v>
      </c>
      <c r="D28" s="5">
        <v>2732</v>
      </c>
      <c r="E28" s="5">
        <v>2994</v>
      </c>
      <c r="F28" s="5">
        <v>2877</v>
      </c>
      <c r="G28" s="5">
        <v>3362</v>
      </c>
      <c r="H28" s="5">
        <v>2857</v>
      </c>
    </row>
    <row r="29" spans="1:8" x14ac:dyDescent="0.2">
      <c r="A29" s="3" t="s">
        <v>36</v>
      </c>
      <c r="B29" s="4" t="s">
        <v>58</v>
      </c>
      <c r="C29" s="5">
        <v>9348</v>
      </c>
      <c r="D29" s="5">
        <v>10402</v>
      </c>
      <c r="E29" s="5">
        <v>11770</v>
      </c>
      <c r="F29" s="5">
        <v>12185</v>
      </c>
      <c r="G29" s="5">
        <v>13636</v>
      </c>
      <c r="H29" s="5">
        <v>9838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426</v>
      </c>
      <c r="E30" s="5">
        <v>272</v>
      </c>
      <c r="F30" s="5">
        <v>308</v>
      </c>
      <c r="G30" s="5">
        <v>243</v>
      </c>
      <c r="H30" s="5">
        <v>219</v>
      </c>
    </row>
    <row r="31" spans="1:8" x14ac:dyDescent="0.2">
      <c r="A31" s="3" t="s">
        <v>38</v>
      </c>
      <c r="B31" s="4" t="s">
        <v>58</v>
      </c>
      <c r="C31" s="5">
        <v>41326</v>
      </c>
      <c r="D31" s="5">
        <v>41755</v>
      </c>
      <c r="E31" s="5">
        <v>39592</v>
      </c>
      <c r="F31" s="5">
        <v>36114</v>
      </c>
      <c r="G31" s="5">
        <v>43071</v>
      </c>
      <c r="H31" s="5">
        <v>39214</v>
      </c>
    </row>
    <row r="32" spans="1:8" x14ac:dyDescent="0.2">
      <c r="A32" s="3" t="s">
        <v>39</v>
      </c>
      <c r="B32" s="4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4" t="s">
        <v>58</v>
      </c>
      <c r="F33" s="4" t="s">
        <v>58</v>
      </c>
      <c r="G33" s="4" t="s">
        <v>58</v>
      </c>
      <c r="H33" s="4" t="s">
        <v>58</v>
      </c>
    </row>
    <row r="34" spans="1:8" x14ac:dyDescent="0.2">
      <c r="A34" s="3" t="s">
        <v>41</v>
      </c>
      <c r="B34" s="4" t="s">
        <v>58</v>
      </c>
      <c r="C34" s="5">
        <v>6135</v>
      </c>
      <c r="D34" s="5">
        <v>6469</v>
      </c>
      <c r="E34" s="5">
        <v>6579</v>
      </c>
      <c r="F34" s="5">
        <v>6169</v>
      </c>
      <c r="G34" s="5">
        <v>5631</v>
      </c>
      <c r="H34" s="5">
        <v>4938</v>
      </c>
    </row>
    <row r="35" spans="1:8" x14ac:dyDescent="0.2">
      <c r="A35" s="3" t="s">
        <v>42</v>
      </c>
      <c r="B35" s="4" t="s">
        <v>58</v>
      </c>
      <c r="C35" s="4" t="s">
        <v>58</v>
      </c>
      <c r="D35" s="5">
        <v>190462</v>
      </c>
      <c r="E35" s="5">
        <v>184818</v>
      </c>
      <c r="F35" s="5">
        <v>185700</v>
      </c>
      <c r="G35" s="5">
        <v>177800</v>
      </c>
      <c r="H35" s="5">
        <v>169294</v>
      </c>
    </row>
    <row r="36" spans="1:8" x14ac:dyDescent="0.2">
      <c r="A36" s="3" t="s">
        <v>43</v>
      </c>
      <c r="B36" s="4" t="s">
        <v>58</v>
      </c>
      <c r="C36" s="5">
        <v>7848</v>
      </c>
      <c r="D36" s="5">
        <v>8083</v>
      </c>
      <c r="E36" s="5">
        <v>7089</v>
      </c>
      <c r="F36" s="5">
        <v>840</v>
      </c>
      <c r="G36" s="5">
        <v>693</v>
      </c>
      <c r="H36" s="5">
        <v>785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5">
        <v>44490</v>
      </c>
      <c r="F37" s="5">
        <v>43047</v>
      </c>
      <c r="G37" s="5">
        <v>39584</v>
      </c>
      <c r="H37" s="5">
        <v>40420</v>
      </c>
    </row>
    <row r="38" spans="1:8" x14ac:dyDescent="0.2">
      <c r="A38" s="3" t="s">
        <v>45</v>
      </c>
      <c r="B38" s="4" t="s">
        <v>58</v>
      </c>
      <c r="C38" s="4" t="s">
        <v>58</v>
      </c>
      <c r="D38" s="4" t="s">
        <v>58</v>
      </c>
      <c r="E38" s="4" t="s">
        <v>58</v>
      </c>
      <c r="F38" s="4" t="s">
        <v>58</v>
      </c>
      <c r="G38" s="4" t="s">
        <v>58</v>
      </c>
      <c r="H38" s="4" t="s">
        <v>58</v>
      </c>
    </row>
    <row r="39" spans="1:8" x14ac:dyDescent="0.2">
      <c r="A39" s="3" t="s">
        <v>46</v>
      </c>
      <c r="B39" s="4" t="s">
        <v>58</v>
      </c>
      <c r="C39" s="5">
        <v>10567</v>
      </c>
      <c r="D39" s="5">
        <v>9765</v>
      </c>
      <c r="E39" s="5">
        <v>9088</v>
      </c>
      <c r="F39" s="5">
        <v>8726</v>
      </c>
      <c r="G39" s="5">
        <v>8756</v>
      </c>
      <c r="H39" s="5">
        <v>8166</v>
      </c>
    </row>
    <row r="40" spans="1:8" x14ac:dyDescent="0.2">
      <c r="A40" s="3" t="s">
        <v>47</v>
      </c>
      <c r="B40" s="4" t="s">
        <v>58</v>
      </c>
      <c r="C40" s="5">
        <v>8162</v>
      </c>
      <c r="D40" s="5">
        <v>7016</v>
      </c>
      <c r="E40" s="5">
        <v>8489</v>
      </c>
      <c r="F40" s="5">
        <v>8595</v>
      </c>
      <c r="G40" s="5">
        <v>9051</v>
      </c>
      <c r="H40" s="5">
        <v>9032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8645</v>
      </c>
      <c r="F41" s="5">
        <v>7343</v>
      </c>
      <c r="G41" s="5">
        <v>8914</v>
      </c>
      <c r="H41" s="5">
        <v>8415</v>
      </c>
    </row>
    <row r="42" spans="1:8" x14ac:dyDescent="0.2">
      <c r="A42" s="3" t="s">
        <v>49</v>
      </c>
      <c r="B42" s="4" t="s">
        <v>58</v>
      </c>
      <c r="C42" s="4" t="s">
        <v>58</v>
      </c>
      <c r="D42" s="4" t="s">
        <v>58</v>
      </c>
      <c r="E42" s="4" t="s">
        <v>58</v>
      </c>
      <c r="F42" s="4" t="s">
        <v>58</v>
      </c>
      <c r="G42" s="4" t="s">
        <v>58</v>
      </c>
      <c r="H42" s="4" t="s">
        <v>58</v>
      </c>
    </row>
    <row r="43" spans="1:8" x14ac:dyDescent="0.2">
      <c r="A43" s="3" t="s">
        <v>50</v>
      </c>
      <c r="B43" s="4" t="s">
        <v>58</v>
      </c>
      <c r="C43" s="5">
        <v>475</v>
      </c>
      <c r="D43" s="5">
        <v>510</v>
      </c>
      <c r="E43" s="5">
        <v>490</v>
      </c>
      <c r="F43" s="5">
        <v>473</v>
      </c>
      <c r="G43" s="5">
        <v>636</v>
      </c>
      <c r="H43" s="5">
        <v>783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4" t="s">
        <v>58</v>
      </c>
      <c r="F44" s="4" t="s">
        <v>58</v>
      </c>
      <c r="G44" s="4" t="s">
        <v>58</v>
      </c>
      <c r="H44" s="4" t="s">
        <v>58</v>
      </c>
    </row>
    <row r="45" spans="1:8" x14ac:dyDescent="0.2">
      <c r="A45" s="3" t="s">
        <v>52</v>
      </c>
      <c r="B45" s="4" t="s">
        <v>58</v>
      </c>
      <c r="C45" s="4" t="s">
        <v>58</v>
      </c>
      <c r="D45" s="5">
        <v>3036</v>
      </c>
      <c r="E45" s="5">
        <v>4275</v>
      </c>
      <c r="F45" s="5">
        <v>4357</v>
      </c>
      <c r="G45" s="5">
        <v>4552</v>
      </c>
      <c r="H45" s="5">
        <v>4955</v>
      </c>
    </row>
    <row r="46" spans="1:8" x14ac:dyDescent="0.2">
      <c r="A46" s="3" t="s">
        <v>53</v>
      </c>
      <c r="B46" s="4" t="s">
        <v>58</v>
      </c>
      <c r="C46" s="4" t="s">
        <v>58</v>
      </c>
      <c r="D46" s="4" t="s">
        <v>58</v>
      </c>
      <c r="E46" s="5">
        <v>8016</v>
      </c>
      <c r="F46" s="5">
        <v>6624</v>
      </c>
      <c r="G46" s="5">
        <v>6429</v>
      </c>
      <c r="H46" s="5">
        <v>5902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5">
        <v>303</v>
      </c>
      <c r="E48" s="5">
        <v>223</v>
      </c>
      <c r="F48" s="5">
        <v>292</v>
      </c>
      <c r="G48" s="5">
        <v>417</v>
      </c>
      <c r="H48" s="5">
        <v>547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4" t="s">
        <v>58</v>
      </c>
      <c r="G49" s="4" t="s">
        <v>58</v>
      </c>
      <c r="H49" s="5">
        <v>1331</v>
      </c>
    </row>
    <row r="50" spans="1:8" x14ac:dyDescent="0.2">
      <c r="A50" s="3" t="s">
        <v>57</v>
      </c>
      <c r="B50" s="4" t="s">
        <v>58</v>
      </c>
      <c r="C50" s="4" t="s">
        <v>58</v>
      </c>
      <c r="D50" s="4" t="s">
        <v>58</v>
      </c>
      <c r="E50" s="4" t="s">
        <v>58</v>
      </c>
      <c r="F50" s="4" t="s">
        <v>58</v>
      </c>
      <c r="G50" s="4" t="s">
        <v>58</v>
      </c>
      <c r="H50" s="4" t="s">
        <v>58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44002.107865995371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66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5">
        <v>459047</v>
      </c>
      <c r="G13" s="5">
        <v>483679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5">
        <v>580929</v>
      </c>
      <c r="G14" s="5">
        <v>614869</v>
      </c>
      <c r="H14" s="4" t="s">
        <v>58</v>
      </c>
    </row>
    <row r="15" spans="1:8" x14ac:dyDescent="0.2">
      <c r="A15" s="3" t="s">
        <v>22</v>
      </c>
      <c r="B15" s="4" t="s">
        <v>58</v>
      </c>
      <c r="C15" s="4" t="s">
        <v>58</v>
      </c>
      <c r="D15" s="4" t="s">
        <v>58</v>
      </c>
      <c r="E15" s="5">
        <v>1083</v>
      </c>
      <c r="F15" s="5">
        <v>1205</v>
      </c>
      <c r="G15" s="5">
        <v>1093</v>
      </c>
      <c r="H15" s="5">
        <v>985</v>
      </c>
    </row>
    <row r="16" spans="1:8" x14ac:dyDescent="0.2">
      <c r="A16" s="3" t="s">
        <v>23</v>
      </c>
      <c r="B16" s="4" t="s">
        <v>58</v>
      </c>
      <c r="C16" s="4" t="s">
        <v>58</v>
      </c>
      <c r="D16" s="4" t="s">
        <v>58</v>
      </c>
      <c r="E16" s="4" t="s">
        <v>58</v>
      </c>
      <c r="F16" s="4" t="s">
        <v>58</v>
      </c>
      <c r="G16" s="4" t="s">
        <v>58</v>
      </c>
      <c r="H16" s="4" t="s">
        <v>58</v>
      </c>
    </row>
    <row r="17" spans="1:8" x14ac:dyDescent="0.2">
      <c r="A17" s="3" t="s">
        <v>24</v>
      </c>
      <c r="B17" s="4" t="s">
        <v>58</v>
      </c>
      <c r="C17" s="5">
        <v>497</v>
      </c>
      <c r="D17" s="5">
        <v>511</v>
      </c>
      <c r="E17" s="5">
        <v>514</v>
      </c>
      <c r="F17" s="5">
        <v>516</v>
      </c>
      <c r="G17" s="5">
        <v>541</v>
      </c>
      <c r="H17" s="5">
        <v>522</v>
      </c>
    </row>
    <row r="18" spans="1:8" x14ac:dyDescent="0.2">
      <c r="A18" s="3" t="s">
        <v>25</v>
      </c>
      <c r="B18" s="4" t="s">
        <v>58</v>
      </c>
      <c r="C18" s="5">
        <v>22757</v>
      </c>
      <c r="D18" s="5">
        <v>23091</v>
      </c>
      <c r="E18" s="5">
        <v>19250</v>
      </c>
      <c r="F18" s="5">
        <v>20601</v>
      </c>
      <c r="G18" s="5">
        <v>21904</v>
      </c>
      <c r="H18" s="5">
        <v>21353</v>
      </c>
    </row>
    <row r="19" spans="1:8" x14ac:dyDescent="0.2">
      <c r="A19" s="3" t="s">
        <v>26</v>
      </c>
      <c r="B19" s="4" t="s">
        <v>58</v>
      </c>
      <c r="C19" s="5">
        <v>408</v>
      </c>
      <c r="D19" s="5">
        <v>361</v>
      </c>
      <c r="E19" s="5">
        <v>296</v>
      </c>
      <c r="F19" s="5">
        <v>273</v>
      </c>
      <c r="G19" s="5">
        <v>260</v>
      </c>
      <c r="H19" s="5">
        <v>284</v>
      </c>
    </row>
    <row r="20" spans="1:8" x14ac:dyDescent="0.2">
      <c r="A20" s="3" t="s">
        <v>27</v>
      </c>
      <c r="B20" s="4" t="s">
        <v>58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</row>
    <row r="21" spans="1:8" x14ac:dyDescent="0.2">
      <c r="A21" s="3" t="s">
        <v>28</v>
      </c>
      <c r="B21" s="4" t="s">
        <v>58</v>
      </c>
      <c r="C21" s="5">
        <v>10961</v>
      </c>
      <c r="D21" s="5">
        <v>5136</v>
      </c>
      <c r="E21" s="5">
        <v>7057</v>
      </c>
      <c r="F21" s="5">
        <v>7085</v>
      </c>
      <c r="G21" s="5">
        <v>8870</v>
      </c>
      <c r="H21" s="5">
        <v>5399</v>
      </c>
    </row>
    <row r="22" spans="1:8" x14ac:dyDescent="0.2">
      <c r="A22" s="3" t="s">
        <v>29</v>
      </c>
      <c r="B22" s="4" t="s">
        <v>58</v>
      </c>
      <c r="C22" s="4" t="s">
        <v>58</v>
      </c>
      <c r="D22" s="4" t="s">
        <v>58</v>
      </c>
      <c r="E22" s="4" t="s">
        <v>58</v>
      </c>
      <c r="F22" s="4" t="s">
        <v>58</v>
      </c>
      <c r="G22" s="4" t="s">
        <v>58</v>
      </c>
      <c r="H22" s="4" t="s">
        <v>58</v>
      </c>
    </row>
    <row r="23" spans="1:8" x14ac:dyDescent="0.2">
      <c r="A23" s="3" t="s">
        <v>30</v>
      </c>
      <c r="B23" s="4" t="s">
        <v>58</v>
      </c>
      <c r="C23" s="5">
        <v>126790</v>
      </c>
      <c r="D23" s="5">
        <v>126423</v>
      </c>
      <c r="E23" s="5">
        <v>119075</v>
      </c>
      <c r="F23" s="5">
        <v>123545</v>
      </c>
      <c r="G23" s="5">
        <v>141357</v>
      </c>
      <c r="H23" s="5">
        <v>162165</v>
      </c>
    </row>
    <row r="24" spans="1:8" x14ac:dyDescent="0.2">
      <c r="A24" s="3" t="s">
        <v>31</v>
      </c>
      <c r="B24" s="4" t="s">
        <v>58</v>
      </c>
      <c r="C24" s="4" t="s">
        <v>58</v>
      </c>
      <c r="D24" s="4" t="s">
        <v>58</v>
      </c>
      <c r="E24" s="4" t="s">
        <v>58</v>
      </c>
      <c r="F24" s="5">
        <v>225256</v>
      </c>
      <c r="G24" s="5">
        <v>227221</v>
      </c>
      <c r="H24" s="5">
        <v>219801</v>
      </c>
    </row>
    <row r="25" spans="1:8" x14ac:dyDescent="0.2">
      <c r="A25" s="3" t="s">
        <v>32</v>
      </c>
      <c r="B25" s="4" t="s">
        <v>58</v>
      </c>
      <c r="C25" s="4" t="s">
        <v>58</v>
      </c>
      <c r="D25" s="5">
        <v>52</v>
      </c>
      <c r="E25" s="5">
        <v>48</v>
      </c>
      <c r="F25" s="5">
        <v>3</v>
      </c>
      <c r="G25" s="5">
        <v>37</v>
      </c>
      <c r="H25" s="5">
        <v>8</v>
      </c>
    </row>
    <row r="26" spans="1:8" x14ac:dyDescent="0.2">
      <c r="A26" s="3" t="s">
        <v>33</v>
      </c>
      <c r="B26" s="4" t="s">
        <v>58</v>
      </c>
      <c r="C26" s="5">
        <v>1375</v>
      </c>
      <c r="D26" s="5">
        <v>2293</v>
      </c>
      <c r="E26" s="5">
        <v>2909</v>
      </c>
      <c r="F26" s="5">
        <v>3502</v>
      </c>
      <c r="G26" s="5">
        <v>5101</v>
      </c>
      <c r="H26" s="5">
        <v>5520</v>
      </c>
    </row>
    <row r="27" spans="1:8" x14ac:dyDescent="0.2">
      <c r="A27" s="3" t="s">
        <v>34</v>
      </c>
      <c r="B27" s="4" t="s">
        <v>58</v>
      </c>
      <c r="C27" s="5">
        <v>1690</v>
      </c>
      <c r="D27" s="5">
        <v>1414</v>
      </c>
      <c r="E27" s="5">
        <v>1584</v>
      </c>
      <c r="F27" s="5">
        <v>1960</v>
      </c>
      <c r="G27" s="5">
        <v>2343</v>
      </c>
      <c r="H27" s="5">
        <v>2119</v>
      </c>
    </row>
    <row r="28" spans="1:8" x14ac:dyDescent="0.2">
      <c r="A28" s="3" t="s">
        <v>35</v>
      </c>
      <c r="B28" s="4" t="s">
        <v>58</v>
      </c>
      <c r="C28" s="5">
        <v>7077</v>
      </c>
      <c r="D28" s="5">
        <v>7238</v>
      </c>
      <c r="E28" s="5">
        <v>6110</v>
      </c>
      <c r="F28" s="5">
        <v>6021</v>
      </c>
      <c r="G28" s="5">
        <v>6196</v>
      </c>
      <c r="H28" s="5">
        <v>5936</v>
      </c>
    </row>
    <row r="29" spans="1:8" x14ac:dyDescent="0.2">
      <c r="A29" s="3" t="s">
        <v>36</v>
      </c>
      <c r="B29" s="4" t="s">
        <v>58</v>
      </c>
      <c r="C29" s="4" t="s">
        <v>58</v>
      </c>
      <c r="D29" s="4" t="s">
        <v>58</v>
      </c>
      <c r="E29" s="4" t="s">
        <v>58</v>
      </c>
      <c r="F29" s="4" t="s">
        <v>58</v>
      </c>
      <c r="G29" s="4" t="s">
        <v>58</v>
      </c>
      <c r="H29" s="4" t="s">
        <v>58</v>
      </c>
    </row>
    <row r="30" spans="1:8" x14ac:dyDescent="0.2">
      <c r="A30" s="3" t="s">
        <v>37</v>
      </c>
      <c r="B30" s="4" t="s">
        <v>58</v>
      </c>
      <c r="C30" s="5">
        <v>250</v>
      </c>
      <c r="D30" s="5">
        <v>295</v>
      </c>
      <c r="E30" s="5">
        <v>319</v>
      </c>
      <c r="F30" s="5">
        <v>335</v>
      </c>
      <c r="G30" s="5">
        <v>313</v>
      </c>
      <c r="H30" s="5">
        <v>458</v>
      </c>
    </row>
    <row r="31" spans="1:8" x14ac:dyDescent="0.2">
      <c r="A31" s="3" t="s">
        <v>38</v>
      </c>
      <c r="B31" s="4" t="s">
        <v>58</v>
      </c>
      <c r="C31" s="5">
        <v>16551</v>
      </c>
      <c r="D31" s="5">
        <v>4716</v>
      </c>
      <c r="E31" s="5">
        <v>5222</v>
      </c>
      <c r="F31" s="5">
        <v>5609</v>
      </c>
      <c r="G31" s="5">
        <v>5880</v>
      </c>
      <c r="H31" s="5">
        <v>4452</v>
      </c>
    </row>
    <row r="32" spans="1:8" x14ac:dyDescent="0.2">
      <c r="A32" s="3" t="s">
        <v>39</v>
      </c>
      <c r="B32" s="4" t="s">
        <v>58</v>
      </c>
      <c r="C32" s="5">
        <v>1107</v>
      </c>
      <c r="D32" s="5">
        <v>1232</v>
      </c>
      <c r="E32" s="5">
        <v>1504</v>
      </c>
      <c r="F32" s="5">
        <v>1052</v>
      </c>
      <c r="G32" s="5">
        <v>1106</v>
      </c>
      <c r="H32" s="5">
        <v>1461</v>
      </c>
    </row>
    <row r="33" spans="1:8" x14ac:dyDescent="0.2">
      <c r="A33" s="3" t="s">
        <v>40</v>
      </c>
      <c r="B33" s="4" t="s">
        <v>58</v>
      </c>
      <c r="C33" s="5">
        <v>1575</v>
      </c>
      <c r="D33" s="5">
        <v>3253</v>
      </c>
      <c r="E33" s="5">
        <v>3410</v>
      </c>
      <c r="F33" s="5">
        <v>3448</v>
      </c>
      <c r="G33" s="5">
        <v>3816</v>
      </c>
      <c r="H33" s="5">
        <v>4955</v>
      </c>
    </row>
    <row r="34" spans="1:8" x14ac:dyDescent="0.2">
      <c r="A34" s="3" t="s">
        <v>41</v>
      </c>
      <c r="B34" s="4" t="s">
        <v>58</v>
      </c>
      <c r="C34" s="5">
        <v>35456</v>
      </c>
      <c r="D34" s="5">
        <v>35562</v>
      </c>
      <c r="E34" s="5">
        <v>35786</v>
      </c>
      <c r="F34" s="5">
        <v>34830</v>
      </c>
      <c r="G34" s="5">
        <v>33292</v>
      </c>
      <c r="H34" s="5">
        <v>33161</v>
      </c>
    </row>
    <row r="35" spans="1:8" x14ac:dyDescent="0.2">
      <c r="A35" s="3" t="s">
        <v>42</v>
      </c>
      <c r="B35" s="4" t="s">
        <v>58</v>
      </c>
      <c r="C35" s="5">
        <v>3371</v>
      </c>
      <c r="D35" s="5">
        <v>283</v>
      </c>
      <c r="E35" s="5">
        <v>91</v>
      </c>
      <c r="F35" s="5">
        <v>102</v>
      </c>
      <c r="G35" s="5">
        <v>98</v>
      </c>
      <c r="H35" s="5">
        <v>105</v>
      </c>
    </row>
    <row r="36" spans="1:8" x14ac:dyDescent="0.2">
      <c r="A36" s="3" t="s">
        <v>43</v>
      </c>
      <c r="B36" s="4" t="s">
        <v>58</v>
      </c>
      <c r="C36" s="4" t="s">
        <v>58</v>
      </c>
      <c r="D36" s="4" t="s">
        <v>58</v>
      </c>
      <c r="E36" s="5">
        <v>395</v>
      </c>
      <c r="F36" s="5">
        <v>6151</v>
      </c>
      <c r="G36" s="5">
        <v>6475</v>
      </c>
      <c r="H36" s="5">
        <v>6975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4" t="s">
        <v>58</v>
      </c>
      <c r="F37" s="4" t="s">
        <v>58</v>
      </c>
      <c r="G37" s="4" t="s">
        <v>58</v>
      </c>
      <c r="H37" s="4" t="s">
        <v>58</v>
      </c>
    </row>
    <row r="38" spans="1:8" x14ac:dyDescent="0.2">
      <c r="A38" s="3" t="s">
        <v>45</v>
      </c>
      <c r="B38" s="4" t="s">
        <v>58</v>
      </c>
      <c r="C38" s="5">
        <v>6965</v>
      </c>
      <c r="D38" s="5">
        <v>7258</v>
      </c>
      <c r="E38" s="5">
        <v>5646</v>
      </c>
      <c r="F38" s="5">
        <v>5323</v>
      </c>
      <c r="G38" s="5">
        <v>5343</v>
      </c>
      <c r="H38" s="5">
        <v>4899</v>
      </c>
    </row>
    <row r="39" spans="1:8" x14ac:dyDescent="0.2">
      <c r="A39" s="3" t="s">
        <v>46</v>
      </c>
      <c r="B39" s="4" t="s">
        <v>58</v>
      </c>
      <c r="C39" s="5">
        <v>994</v>
      </c>
      <c r="D39" s="5">
        <v>1024</v>
      </c>
      <c r="E39" s="5">
        <v>926</v>
      </c>
      <c r="F39" s="5">
        <v>827</v>
      </c>
      <c r="G39" s="5">
        <v>874</v>
      </c>
      <c r="H39" s="5">
        <v>758</v>
      </c>
    </row>
    <row r="40" spans="1:8" x14ac:dyDescent="0.2">
      <c r="A40" s="3" t="s">
        <v>47</v>
      </c>
      <c r="B40" s="4" t="s">
        <v>58</v>
      </c>
      <c r="C40" s="5">
        <v>47</v>
      </c>
      <c r="D40" s="4" t="s">
        <v>58</v>
      </c>
      <c r="E40" s="4" t="s">
        <v>58</v>
      </c>
      <c r="F40" s="4" t="s">
        <v>58</v>
      </c>
      <c r="G40" s="4" t="s">
        <v>58</v>
      </c>
      <c r="H40" s="4" t="s">
        <v>58</v>
      </c>
    </row>
    <row r="41" spans="1:8" x14ac:dyDescent="0.2">
      <c r="A41" s="3" t="s">
        <v>48</v>
      </c>
      <c r="B41" s="4" t="s">
        <v>58</v>
      </c>
      <c r="C41" s="5">
        <v>11857</v>
      </c>
      <c r="D41" s="5">
        <v>12465</v>
      </c>
      <c r="E41" s="5">
        <v>11430</v>
      </c>
      <c r="F41" s="5">
        <v>11403</v>
      </c>
      <c r="G41" s="5">
        <v>11559</v>
      </c>
      <c r="H41" s="5">
        <v>11984</v>
      </c>
    </row>
    <row r="42" spans="1:8" x14ac:dyDescent="0.2">
      <c r="A42" s="3" t="s">
        <v>49</v>
      </c>
      <c r="B42" s="4" t="s">
        <v>58</v>
      </c>
      <c r="C42" s="5">
        <v>72279</v>
      </c>
      <c r="D42" s="5">
        <v>189942</v>
      </c>
      <c r="E42" s="5">
        <v>116656</v>
      </c>
      <c r="F42" s="5">
        <v>121882</v>
      </c>
      <c r="G42" s="5">
        <v>131190</v>
      </c>
      <c r="H42" s="5">
        <v>125855</v>
      </c>
    </row>
    <row r="43" spans="1:8" x14ac:dyDescent="0.2">
      <c r="A43" s="3" t="s">
        <v>50</v>
      </c>
      <c r="B43" s="4" t="s">
        <v>58</v>
      </c>
      <c r="C43" s="5">
        <v>281</v>
      </c>
      <c r="D43" s="5">
        <v>331</v>
      </c>
      <c r="E43" s="5">
        <v>297</v>
      </c>
      <c r="F43" s="5">
        <v>311</v>
      </c>
      <c r="G43" s="5">
        <v>428</v>
      </c>
      <c r="H43" s="5">
        <v>369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4" t="s">
        <v>58</v>
      </c>
      <c r="F44" s="4" t="s">
        <v>58</v>
      </c>
      <c r="G44" s="4" t="s">
        <v>58</v>
      </c>
      <c r="H44" s="4" t="s">
        <v>58</v>
      </c>
    </row>
    <row r="45" spans="1:8" x14ac:dyDescent="0.2">
      <c r="A45" s="3" t="s">
        <v>52</v>
      </c>
      <c r="B45" s="4" t="s">
        <v>58</v>
      </c>
      <c r="C45" s="5">
        <v>4123</v>
      </c>
      <c r="D45" s="5">
        <v>3659</v>
      </c>
      <c r="E45" s="5">
        <v>4063</v>
      </c>
      <c r="F45" s="5">
        <v>3647</v>
      </c>
      <c r="G45" s="5">
        <v>3311</v>
      </c>
      <c r="H45" s="5">
        <v>3967</v>
      </c>
    </row>
    <row r="46" spans="1:8" x14ac:dyDescent="0.2">
      <c r="A46" s="3" t="s">
        <v>53</v>
      </c>
      <c r="B46" s="4" t="s">
        <v>58</v>
      </c>
      <c r="C46" s="5">
        <v>4808</v>
      </c>
      <c r="D46" s="5">
        <v>4650</v>
      </c>
      <c r="E46" s="5">
        <v>4866</v>
      </c>
      <c r="F46" s="5">
        <v>2667</v>
      </c>
      <c r="G46" s="5">
        <v>2494</v>
      </c>
      <c r="H46" s="5">
        <v>2779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4" t="s">
        <v>58</v>
      </c>
      <c r="E48" s="4" t="s">
        <v>58</v>
      </c>
      <c r="F48" s="4" t="s">
        <v>58</v>
      </c>
      <c r="G48" s="4" t="s">
        <v>58</v>
      </c>
      <c r="H48" s="4" t="s">
        <v>58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4" t="s">
        <v>58</v>
      </c>
      <c r="G49" s="4" t="s">
        <v>58</v>
      </c>
      <c r="H49" s="4" t="s">
        <v>58</v>
      </c>
    </row>
    <row r="50" spans="1:8" x14ac:dyDescent="0.2">
      <c r="A50" s="3" t="s">
        <v>57</v>
      </c>
      <c r="B50" s="4" t="s">
        <v>58</v>
      </c>
      <c r="C50" s="5">
        <v>442563</v>
      </c>
      <c r="D50" s="5">
        <v>514385</v>
      </c>
      <c r="E50" s="5">
        <v>578385</v>
      </c>
      <c r="F50" s="5">
        <v>617732</v>
      </c>
      <c r="G50" s="5">
        <v>633381</v>
      </c>
      <c r="H50" s="5">
        <v>565221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44002.107865995371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67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5">
        <v>2752</v>
      </c>
      <c r="G13" s="5">
        <v>2191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5">
        <v>121328</v>
      </c>
      <c r="G14" s="5">
        <v>110853</v>
      </c>
      <c r="H14" s="4" t="s">
        <v>58</v>
      </c>
    </row>
    <row r="15" spans="1:8" x14ac:dyDescent="0.2">
      <c r="A15" s="3" t="s">
        <v>22</v>
      </c>
      <c r="B15" s="4" t="s">
        <v>58</v>
      </c>
      <c r="C15" s="4" t="s">
        <v>58</v>
      </c>
      <c r="D15" s="4" t="s">
        <v>58</v>
      </c>
      <c r="E15" s="4" t="s">
        <v>58</v>
      </c>
      <c r="F15" s="4" t="s">
        <v>58</v>
      </c>
      <c r="G15" s="4" t="s">
        <v>58</v>
      </c>
      <c r="H15" s="4" t="s">
        <v>58</v>
      </c>
    </row>
    <row r="16" spans="1:8" x14ac:dyDescent="0.2">
      <c r="A16" s="3" t="s">
        <v>23</v>
      </c>
      <c r="B16" s="4" t="s">
        <v>58</v>
      </c>
      <c r="C16" s="4" t="s">
        <v>58</v>
      </c>
      <c r="D16" s="4" t="s">
        <v>58</v>
      </c>
      <c r="E16" s="4" t="s">
        <v>58</v>
      </c>
      <c r="F16" s="4" t="s">
        <v>58</v>
      </c>
      <c r="G16" s="4" t="s">
        <v>58</v>
      </c>
      <c r="H16" s="4" t="s">
        <v>58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4" t="s">
        <v>58</v>
      </c>
      <c r="F17" s="4" t="s">
        <v>58</v>
      </c>
      <c r="G17" s="4" t="s">
        <v>58</v>
      </c>
      <c r="H17" s="4" t="s">
        <v>58</v>
      </c>
    </row>
    <row r="18" spans="1:8" x14ac:dyDescent="0.2">
      <c r="A18" s="3" t="s">
        <v>25</v>
      </c>
      <c r="B18" s="4" t="s">
        <v>58</v>
      </c>
      <c r="C18" s="4" t="s">
        <v>58</v>
      </c>
      <c r="D18" s="4" t="s">
        <v>58</v>
      </c>
      <c r="E18" s="4" t="s">
        <v>58</v>
      </c>
      <c r="F18" s="4" t="s">
        <v>58</v>
      </c>
      <c r="G18" s="4" t="s">
        <v>58</v>
      </c>
      <c r="H18" s="4" t="s">
        <v>58</v>
      </c>
    </row>
    <row r="19" spans="1:8" x14ac:dyDescent="0.2">
      <c r="A19" s="3" t="s">
        <v>26</v>
      </c>
      <c r="B19" s="4" t="s">
        <v>58</v>
      </c>
      <c r="C19" s="4" t="s">
        <v>58</v>
      </c>
      <c r="D19" s="4" t="s">
        <v>58</v>
      </c>
      <c r="E19" s="4" t="s">
        <v>58</v>
      </c>
      <c r="F19" s="4" t="s">
        <v>58</v>
      </c>
      <c r="G19" s="4" t="s">
        <v>58</v>
      </c>
      <c r="H19" s="4" t="s">
        <v>58</v>
      </c>
    </row>
    <row r="20" spans="1:8" x14ac:dyDescent="0.2">
      <c r="A20" s="3" t="s">
        <v>27</v>
      </c>
      <c r="B20" s="4" t="s">
        <v>58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</row>
    <row r="21" spans="1:8" x14ac:dyDescent="0.2">
      <c r="A21" s="3" t="s">
        <v>28</v>
      </c>
      <c r="B21" s="4" t="s">
        <v>58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4" t="s">
        <v>58</v>
      </c>
    </row>
    <row r="22" spans="1:8" x14ac:dyDescent="0.2">
      <c r="A22" s="3" t="s">
        <v>29</v>
      </c>
      <c r="B22" s="4" t="s">
        <v>58</v>
      </c>
      <c r="C22" s="4" t="s">
        <v>58</v>
      </c>
      <c r="D22" s="4" t="s">
        <v>58</v>
      </c>
      <c r="E22" s="4" t="s">
        <v>58</v>
      </c>
      <c r="F22" s="4" t="s">
        <v>58</v>
      </c>
      <c r="G22" s="4" t="s">
        <v>58</v>
      </c>
      <c r="H22" s="4" t="s">
        <v>58</v>
      </c>
    </row>
    <row r="23" spans="1:8" x14ac:dyDescent="0.2">
      <c r="A23" s="3" t="s">
        <v>30</v>
      </c>
      <c r="B23" s="4" t="s">
        <v>58</v>
      </c>
      <c r="C23" s="4" t="s">
        <v>58</v>
      </c>
      <c r="D23" s="4" t="s">
        <v>58</v>
      </c>
      <c r="E23" s="4" t="s">
        <v>58</v>
      </c>
      <c r="F23" s="4" t="s">
        <v>58</v>
      </c>
      <c r="G23" s="4" t="s">
        <v>58</v>
      </c>
      <c r="H23" s="4" t="s">
        <v>58</v>
      </c>
    </row>
    <row r="24" spans="1:8" x14ac:dyDescent="0.2">
      <c r="A24" s="3" t="s">
        <v>31</v>
      </c>
      <c r="B24" s="4" t="s">
        <v>58</v>
      </c>
      <c r="C24" s="4" t="s">
        <v>58</v>
      </c>
      <c r="D24" s="4" t="s">
        <v>58</v>
      </c>
      <c r="E24" s="4" t="s">
        <v>58</v>
      </c>
      <c r="F24" s="4" t="s">
        <v>58</v>
      </c>
      <c r="G24" s="4" t="s">
        <v>58</v>
      </c>
      <c r="H24" s="4" t="s">
        <v>58</v>
      </c>
    </row>
    <row r="25" spans="1:8" x14ac:dyDescent="0.2">
      <c r="A25" s="3" t="s">
        <v>32</v>
      </c>
      <c r="B25" s="4" t="s">
        <v>58</v>
      </c>
      <c r="C25" s="4" t="s">
        <v>58</v>
      </c>
      <c r="D25" s="4" t="s">
        <v>58</v>
      </c>
      <c r="E25" s="4" t="s">
        <v>58</v>
      </c>
      <c r="F25" s="4" t="s">
        <v>58</v>
      </c>
      <c r="G25" s="4" t="s">
        <v>58</v>
      </c>
      <c r="H25" s="4" t="s">
        <v>58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4" t="s">
        <v>58</v>
      </c>
      <c r="F26" s="4" t="s">
        <v>58</v>
      </c>
      <c r="G26" s="4" t="s">
        <v>58</v>
      </c>
      <c r="H26" s="4" t="s">
        <v>58</v>
      </c>
    </row>
    <row r="27" spans="1:8" x14ac:dyDescent="0.2">
      <c r="A27" s="3" t="s">
        <v>34</v>
      </c>
      <c r="B27" s="4" t="s">
        <v>58</v>
      </c>
      <c r="C27" s="4" t="s">
        <v>58</v>
      </c>
      <c r="D27" s="4" t="s">
        <v>58</v>
      </c>
      <c r="E27" s="4" t="s">
        <v>58</v>
      </c>
      <c r="F27" s="4" t="s">
        <v>58</v>
      </c>
      <c r="G27" s="4" t="s">
        <v>58</v>
      </c>
      <c r="H27" s="4" t="s">
        <v>58</v>
      </c>
    </row>
    <row r="28" spans="1:8" x14ac:dyDescent="0.2">
      <c r="A28" s="3" t="s">
        <v>35</v>
      </c>
      <c r="B28" s="4" t="s">
        <v>58</v>
      </c>
      <c r="C28" s="4" t="s">
        <v>58</v>
      </c>
      <c r="D28" s="4" t="s">
        <v>58</v>
      </c>
      <c r="E28" s="4" t="s">
        <v>58</v>
      </c>
      <c r="F28" s="4" t="s">
        <v>58</v>
      </c>
      <c r="G28" s="4" t="s">
        <v>58</v>
      </c>
      <c r="H28" s="4" t="s">
        <v>58</v>
      </c>
    </row>
    <row r="29" spans="1:8" x14ac:dyDescent="0.2">
      <c r="A29" s="3" t="s">
        <v>36</v>
      </c>
      <c r="B29" s="4" t="s">
        <v>58</v>
      </c>
      <c r="C29" s="4" t="s">
        <v>58</v>
      </c>
      <c r="D29" s="4" t="s">
        <v>58</v>
      </c>
      <c r="E29" s="4" t="s">
        <v>58</v>
      </c>
      <c r="F29" s="4" t="s">
        <v>58</v>
      </c>
      <c r="G29" s="4" t="s">
        <v>58</v>
      </c>
      <c r="H29" s="4" t="s">
        <v>58</v>
      </c>
    </row>
    <row r="30" spans="1:8" x14ac:dyDescent="0.2">
      <c r="A30" s="3" t="s">
        <v>37</v>
      </c>
      <c r="B30" s="4" t="s">
        <v>58</v>
      </c>
      <c r="C30" s="4" t="s">
        <v>58</v>
      </c>
      <c r="D30" s="4" t="s">
        <v>58</v>
      </c>
      <c r="E30" s="4" t="s">
        <v>58</v>
      </c>
      <c r="F30" s="4" t="s">
        <v>58</v>
      </c>
      <c r="G30" s="4" t="s">
        <v>58</v>
      </c>
      <c r="H30" s="4" t="s">
        <v>58</v>
      </c>
    </row>
    <row r="31" spans="1:8" x14ac:dyDescent="0.2">
      <c r="A31" s="3" t="s">
        <v>38</v>
      </c>
      <c r="B31" s="4" t="s">
        <v>58</v>
      </c>
      <c r="C31" s="4" t="s">
        <v>58</v>
      </c>
      <c r="D31" s="4" t="s">
        <v>58</v>
      </c>
      <c r="E31" s="4" t="s">
        <v>58</v>
      </c>
      <c r="F31" s="4" t="s">
        <v>58</v>
      </c>
      <c r="G31" s="4" t="s">
        <v>58</v>
      </c>
      <c r="H31" s="4" t="s">
        <v>58</v>
      </c>
    </row>
    <row r="32" spans="1:8" x14ac:dyDescent="0.2">
      <c r="A32" s="3" t="s">
        <v>39</v>
      </c>
      <c r="B32" s="4" t="s">
        <v>58</v>
      </c>
      <c r="C32" s="5">
        <v>506</v>
      </c>
      <c r="D32" s="5">
        <v>635</v>
      </c>
      <c r="E32" s="5">
        <v>614</v>
      </c>
      <c r="F32" s="5">
        <v>592</v>
      </c>
      <c r="G32" s="5">
        <v>486</v>
      </c>
      <c r="H32" s="5">
        <v>838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4" t="s">
        <v>58</v>
      </c>
      <c r="F33" s="4" t="s">
        <v>58</v>
      </c>
      <c r="G33" s="4" t="s">
        <v>58</v>
      </c>
      <c r="H33" s="4" t="s">
        <v>58</v>
      </c>
    </row>
    <row r="34" spans="1:8" x14ac:dyDescent="0.2">
      <c r="A34" s="3" t="s">
        <v>41</v>
      </c>
      <c r="B34" s="4" t="s">
        <v>58</v>
      </c>
      <c r="C34" s="4" t="s">
        <v>58</v>
      </c>
      <c r="D34" s="4" t="s">
        <v>58</v>
      </c>
      <c r="E34" s="4" t="s">
        <v>58</v>
      </c>
      <c r="F34" s="4" t="s">
        <v>58</v>
      </c>
      <c r="G34" s="4" t="s">
        <v>58</v>
      </c>
      <c r="H34" s="4" t="s">
        <v>58</v>
      </c>
    </row>
    <row r="35" spans="1:8" x14ac:dyDescent="0.2">
      <c r="A35" s="3" t="s">
        <v>42</v>
      </c>
      <c r="B35" s="4" t="s">
        <v>58</v>
      </c>
      <c r="C35" s="4" t="s">
        <v>58</v>
      </c>
      <c r="D35" s="4" t="s">
        <v>58</v>
      </c>
      <c r="E35" s="4" t="s">
        <v>58</v>
      </c>
      <c r="F35" s="4" t="s">
        <v>58</v>
      </c>
      <c r="G35" s="4" t="s">
        <v>58</v>
      </c>
      <c r="H35" s="4" t="s">
        <v>58</v>
      </c>
    </row>
    <row r="36" spans="1:8" x14ac:dyDescent="0.2">
      <c r="A36" s="3" t="s">
        <v>43</v>
      </c>
      <c r="B36" s="4" t="s">
        <v>58</v>
      </c>
      <c r="C36" s="4" t="s">
        <v>58</v>
      </c>
      <c r="D36" s="4" t="s">
        <v>58</v>
      </c>
      <c r="E36" s="4" t="s">
        <v>58</v>
      </c>
      <c r="F36" s="4" t="s">
        <v>58</v>
      </c>
      <c r="G36" s="4" t="s">
        <v>58</v>
      </c>
      <c r="H36" s="4" t="s">
        <v>58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4" t="s">
        <v>58</v>
      </c>
      <c r="F37" s="4" t="s">
        <v>58</v>
      </c>
      <c r="G37" s="4" t="s">
        <v>58</v>
      </c>
      <c r="H37" s="4" t="s">
        <v>58</v>
      </c>
    </row>
    <row r="38" spans="1:8" x14ac:dyDescent="0.2">
      <c r="A38" s="3" t="s">
        <v>45</v>
      </c>
      <c r="B38" s="4" t="s">
        <v>58</v>
      </c>
      <c r="C38" s="4" t="s">
        <v>58</v>
      </c>
      <c r="D38" s="4" t="s">
        <v>58</v>
      </c>
      <c r="E38" s="4" t="s">
        <v>58</v>
      </c>
      <c r="F38" s="4" t="s">
        <v>58</v>
      </c>
      <c r="G38" s="4" t="s">
        <v>58</v>
      </c>
      <c r="H38" s="4" t="s">
        <v>58</v>
      </c>
    </row>
    <row r="39" spans="1:8" x14ac:dyDescent="0.2">
      <c r="A39" s="3" t="s">
        <v>46</v>
      </c>
      <c r="B39" s="4" t="s">
        <v>58</v>
      </c>
      <c r="C39" s="4" t="s">
        <v>58</v>
      </c>
      <c r="D39" s="4" t="s">
        <v>58</v>
      </c>
      <c r="E39" s="4" t="s">
        <v>58</v>
      </c>
      <c r="F39" s="4" t="s">
        <v>58</v>
      </c>
      <c r="G39" s="4" t="s">
        <v>58</v>
      </c>
      <c r="H39" s="4" t="s">
        <v>58</v>
      </c>
    </row>
    <row r="40" spans="1:8" x14ac:dyDescent="0.2">
      <c r="A40" s="3" t="s">
        <v>47</v>
      </c>
      <c r="B40" s="4" t="s">
        <v>58</v>
      </c>
      <c r="C40" s="4" t="s">
        <v>58</v>
      </c>
      <c r="D40" s="4" t="s">
        <v>58</v>
      </c>
      <c r="E40" s="4" t="s">
        <v>58</v>
      </c>
      <c r="F40" s="4" t="s">
        <v>58</v>
      </c>
      <c r="G40" s="4" t="s">
        <v>58</v>
      </c>
      <c r="H40" s="4" t="s">
        <v>58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2556</v>
      </c>
      <c r="F41" s="5">
        <v>2160</v>
      </c>
      <c r="G41" s="5">
        <v>1705</v>
      </c>
      <c r="H41" s="5">
        <v>1361</v>
      </c>
    </row>
    <row r="42" spans="1:8" x14ac:dyDescent="0.2">
      <c r="A42" s="3" t="s">
        <v>49</v>
      </c>
      <c r="B42" s="4" t="s">
        <v>58</v>
      </c>
      <c r="C42" s="4" t="s">
        <v>58</v>
      </c>
      <c r="D42" s="4" t="s">
        <v>58</v>
      </c>
      <c r="E42" s="5">
        <v>131803</v>
      </c>
      <c r="F42" s="5">
        <v>118576</v>
      </c>
      <c r="G42" s="5">
        <v>108662</v>
      </c>
      <c r="H42" s="5">
        <v>99856</v>
      </c>
    </row>
    <row r="43" spans="1:8" x14ac:dyDescent="0.2">
      <c r="A43" s="3" t="s">
        <v>50</v>
      </c>
      <c r="B43" s="4" t="s">
        <v>58</v>
      </c>
      <c r="C43" s="5">
        <v>141</v>
      </c>
      <c r="D43" s="5">
        <v>172</v>
      </c>
      <c r="E43" s="5">
        <v>149</v>
      </c>
      <c r="F43" s="5">
        <v>176</v>
      </c>
      <c r="G43" s="5">
        <v>205</v>
      </c>
      <c r="H43" s="5">
        <v>175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4" t="s">
        <v>58</v>
      </c>
      <c r="F44" s="4" t="s">
        <v>58</v>
      </c>
      <c r="G44" s="4" t="s">
        <v>58</v>
      </c>
      <c r="H44" s="4" t="s">
        <v>58</v>
      </c>
    </row>
    <row r="45" spans="1:8" x14ac:dyDescent="0.2">
      <c r="A45" s="3" t="s">
        <v>52</v>
      </c>
      <c r="B45" s="4" t="s">
        <v>58</v>
      </c>
      <c r="C45" s="4" t="s">
        <v>58</v>
      </c>
      <c r="D45" s="4" t="s">
        <v>58</v>
      </c>
      <c r="E45" s="4" t="s">
        <v>58</v>
      </c>
      <c r="F45" s="4" t="s">
        <v>58</v>
      </c>
      <c r="G45" s="4" t="s">
        <v>58</v>
      </c>
      <c r="H45" s="4" t="s">
        <v>58</v>
      </c>
    </row>
    <row r="46" spans="1:8" x14ac:dyDescent="0.2">
      <c r="A46" s="3" t="s">
        <v>53</v>
      </c>
      <c r="B46" s="4" t="s">
        <v>58</v>
      </c>
      <c r="C46" s="4" t="s">
        <v>58</v>
      </c>
      <c r="D46" s="4" t="s">
        <v>58</v>
      </c>
      <c r="E46" s="4" t="s">
        <v>58</v>
      </c>
      <c r="F46" s="4" t="s">
        <v>58</v>
      </c>
      <c r="G46" s="4" t="s">
        <v>58</v>
      </c>
      <c r="H46" s="5">
        <v>0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4" t="s">
        <v>58</v>
      </c>
      <c r="E48" s="4" t="s">
        <v>58</v>
      </c>
      <c r="F48" s="4" t="s">
        <v>58</v>
      </c>
      <c r="G48" s="4" t="s">
        <v>58</v>
      </c>
      <c r="H48" s="4" t="s">
        <v>58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4" t="s">
        <v>58</v>
      </c>
      <c r="G49" s="4" t="s">
        <v>58</v>
      </c>
      <c r="H49" s="4" t="s">
        <v>58</v>
      </c>
    </row>
    <row r="50" spans="1:8" x14ac:dyDescent="0.2">
      <c r="A50" s="3" t="s">
        <v>57</v>
      </c>
      <c r="B50" s="4" t="s">
        <v>58</v>
      </c>
      <c r="C50" s="4" t="s">
        <v>58</v>
      </c>
      <c r="D50" s="4" t="s">
        <v>58</v>
      </c>
      <c r="E50" s="4" t="s">
        <v>58</v>
      </c>
      <c r="F50" s="4" t="s">
        <v>58</v>
      </c>
      <c r="G50" s="4" t="s">
        <v>58</v>
      </c>
      <c r="H50" s="4" t="s">
        <v>58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44002.107866006947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68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5">
        <v>449217</v>
      </c>
      <c r="G13" s="5">
        <v>472666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5">
        <v>547766</v>
      </c>
      <c r="G14" s="5">
        <v>560298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1138</v>
      </c>
      <c r="D15" s="5">
        <v>1116</v>
      </c>
      <c r="E15" s="5">
        <v>1083</v>
      </c>
      <c r="F15" s="5">
        <v>1205</v>
      </c>
      <c r="G15" s="5">
        <v>1093</v>
      </c>
      <c r="H15" s="5">
        <v>985</v>
      </c>
    </row>
    <row r="16" spans="1:8" x14ac:dyDescent="0.2">
      <c r="A16" s="3" t="s">
        <v>23</v>
      </c>
      <c r="B16" s="4" t="s">
        <v>58</v>
      </c>
      <c r="C16" s="4" t="s">
        <v>58</v>
      </c>
      <c r="D16" s="4" t="s">
        <v>58</v>
      </c>
      <c r="E16" s="4" t="s">
        <v>58</v>
      </c>
      <c r="F16" s="4" t="s">
        <v>58</v>
      </c>
      <c r="G16" s="4" t="s">
        <v>58</v>
      </c>
      <c r="H16" s="4" t="s">
        <v>58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514</v>
      </c>
      <c r="F17" s="5">
        <v>516</v>
      </c>
      <c r="G17" s="5">
        <v>541</v>
      </c>
      <c r="H17" s="5">
        <v>522</v>
      </c>
    </row>
    <row r="18" spans="1:8" x14ac:dyDescent="0.2">
      <c r="A18" s="3" t="s">
        <v>25</v>
      </c>
      <c r="B18" s="4" t="s">
        <v>58</v>
      </c>
      <c r="C18" s="5">
        <v>22757</v>
      </c>
      <c r="D18" s="5">
        <v>23132</v>
      </c>
      <c r="E18" s="5">
        <v>19274</v>
      </c>
      <c r="F18" s="5">
        <v>20608</v>
      </c>
      <c r="G18" s="5">
        <v>21952</v>
      </c>
      <c r="H18" s="5">
        <v>21368</v>
      </c>
    </row>
    <row r="19" spans="1:8" x14ac:dyDescent="0.2">
      <c r="A19" s="3" t="s">
        <v>26</v>
      </c>
      <c r="B19" s="4" t="s">
        <v>58</v>
      </c>
      <c r="C19" s="5">
        <v>408</v>
      </c>
      <c r="D19" s="5">
        <v>361</v>
      </c>
      <c r="E19" s="5">
        <v>296</v>
      </c>
      <c r="F19" s="5">
        <v>273</v>
      </c>
      <c r="G19" s="5">
        <v>260</v>
      </c>
      <c r="H19" s="5">
        <v>284</v>
      </c>
    </row>
    <row r="20" spans="1:8" x14ac:dyDescent="0.2">
      <c r="A20" s="3" t="s">
        <v>27</v>
      </c>
      <c r="B20" s="4" t="s">
        <v>58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</row>
    <row r="21" spans="1:8" x14ac:dyDescent="0.2">
      <c r="A21" s="3" t="s">
        <v>28</v>
      </c>
      <c r="B21" s="4" t="s">
        <v>58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4" t="s">
        <v>58</v>
      </c>
    </row>
    <row r="22" spans="1:8" x14ac:dyDescent="0.2">
      <c r="A22" s="3" t="s">
        <v>29</v>
      </c>
      <c r="B22" s="4" t="s">
        <v>58</v>
      </c>
      <c r="C22" s="4" t="s">
        <v>58</v>
      </c>
      <c r="D22" s="4" t="s">
        <v>58</v>
      </c>
      <c r="E22" s="4" t="s">
        <v>58</v>
      </c>
      <c r="F22" s="4" t="s">
        <v>58</v>
      </c>
      <c r="G22" s="4" t="s">
        <v>58</v>
      </c>
      <c r="H22" s="4" t="s">
        <v>58</v>
      </c>
    </row>
    <row r="23" spans="1:8" x14ac:dyDescent="0.2">
      <c r="A23" s="3" t="s">
        <v>30</v>
      </c>
      <c r="B23" s="4" t="s">
        <v>58</v>
      </c>
      <c r="C23" s="4" t="s">
        <v>58</v>
      </c>
      <c r="D23" s="5">
        <v>126423</v>
      </c>
      <c r="E23" s="5">
        <v>119075</v>
      </c>
      <c r="F23" s="5">
        <v>123545</v>
      </c>
      <c r="G23" s="5">
        <v>141357</v>
      </c>
      <c r="H23" s="5">
        <v>162165</v>
      </c>
    </row>
    <row r="24" spans="1:8" x14ac:dyDescent="0.2">
      <c r="A24" s="3" t="s">
        <v>31</v>
      </c>
      <c r="B24" s="4" t="s">
        <v>58</v>
      </c>
      <c r="C24" s="4" t="s">
        <v>58</v>
      </c>
      <c r="D24" s="4" t="s">
        <v>58</v>
      </c>
      <c r="E24" s="4" t="s">
        <v>58</v>
      </c>
      <c r="F24" s="5">
        <v>225256</v>
      </c>
      <c r="G24" s="5">
        <v>227221</v>
      </c>
      <c r="H24" s="5">
        <v>219801</v>
      </c>
    </row>
    <row r="25" spans="1:8" x14ac:dyDescent="0.2">
      <c r="A25" s="3" t="s">
        <v>32</v>
      </c>
      <c r="B25" s="4" t="s">
        <v>58</v>
      </c>
      <c r="C25" s="4" t="s">
        <v>58</v>
      </c>
      <c r="D25" s="5">
        <v>52</v>
      </c>
      <c r="E25" s="5">
        <v>48</v>
      </c>
      <c r="F25" s="5">
        <v>3</v>
      </c>
      <c r="G25" s="5">
        <v>37</v>
      </c>
      <c r="H25" s="5">
        <v>8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5">
        <v>2909</v>
      </c>
      <c r="F26" s="5">
        <v>3502</v>
      </c>
      <c r="G26" s="5">
        <v>5101</v>
      </c>
      <c r="H26" s="5">
        <v>5520</v>
      </c>
    </row>
    <row r="27" spans="1:8" x14ac:dyDescent="0.2">
      <c r="A27" s="3" t="s">
        <v>34</v>
      </c>
      <c r="B27" s="4" t="s">
        <v>58</v>
      </c>
      <c r="C27" s="5">
        <v>1690</v>
      </c>
      <c r="D27" s="5">
        <v>1414</v>
      </c>
      <c r="E27" s="5">
        <v>1584</v>
      </c>
      <c r="F27" s="5">
        <v>1960</v>
      </c>
      <c r="G27" s="5">
        <v>2343</v>
      </c>
      <c r="H27" s="5">
        <v>2272</v>
      </c>
    </row>
    <row r="28" spans="1:8" x14ac:dyDescent="0.2">
      <c r="A28" s="3" t="s">
        <v>35</v>
      </c>
      <c r="B28" s="4" t="s">
        <v>58</v>
      </c>
      <c r="C28" s="5">
        <v>7077</v>
      </c>
      <c r="D28" s="5">
        <v>7238</v>
      </c>
      <c r="E28" s="5">
        <v>6110</v>
      </c>
      <c r="F28" s="5">
        <v>6021</v>
      </c>
      <c r="G28" s="5">
        <v>6196</v>
      </c>
      <c r="H28" s="5">
        <v>5936</v>
      </c>
    </row>
    <row r="29" spans="1:8" x14ac:dyDescent="0.2">
      <c r="A29" s="3" t="s">
        <v>36</v>
      </c>
      <c r="B29" s="4" t="s">
        <v>58</v>
      </c>
      <c r="C29" s="4" t="s">
        <v>58</v>
      </c>
      <c r="D29" s="4" t="s">
        <v>58</v>
      </c>
      <c r="E29" s="4" t="s">
        <v>58</v>
      </c>
      <c r="F29" s="4" t="s">
        <v>58</v>
      </c>
      <c r="G29" s="4" t="s">
        <v>58</v>
      </c>
      <c r="H29" s="4" t="s">
        <v>58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295</v>
      </c>
      <c r="E30" s="5">
        <v>319</v>
      </c>
      <c r="F30" s="5">
        <v>335</v>
      </c>
      <c r="G30" s="5">
        <v>313</v>
      </c>
      <c r="H30" s="5">
        <v>458</v>
      </c>
    </row>
    <row r="31" spans="1:8" x14ac:dyDescent="0.2">
      <c r="A31" s="3" t="s">
        <v>38</v>
      </c>
      <c r="B31" s="4" t="s">
        <v>58</v>
      </c>
      <c r="C31" s="5">
        <v>16551</v>
      </c>
      <c r="D31" s="5">
        <v>4716</v>
      </c>
      <c r="E31" s="5">
        <v>5222</v>
      </c>
      <c r="F31" s="5">
        <v>5609</v>
      </c>
      <c r="G31" s="5">
        <v>5880</v>
      </c>
      <c r="H31" s="5">
        <v>4452</v>
      </c>
    </row>
    <row r="32" spans="1:8" x14ac:dyDescent="0.2">
      <c r="A32" s="3" t="s">
        <v>39</v>
      </c>
      <c r="B32" s="4" t="s">
        <v>58</v>
      </c>
      <c r="C32" s="5">
        <v>601</v>
      </c>
      <c r="D32" s="5">
        <v>597</v>
      </c>
      <c r="E32" s="5">
        <v>890</v>
      </c>
      <c r="F32" s="5">
        <v>460</v>
      </c>
      <c r="G32" s="5">
        <v>620</v>
      </c>
      <c r="H32" s="5">
        <v>624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5">
        <v>3410</v>
      </c>
      <c r="F33" s="5">
        <v>3448</v>
      </c>
      <c r="G33" s="5">
        <v>3816</v>
      </c>
      <c r="H33" s="5">
        <v>4955</v>
      </c>
    </row>
    <row r="34" spans="1:8" x14ac:dyDescent="0.2">
      <c r="A34" s="3" t="s">
        <v>41</v>
      </c>
      <c r="B34" s="4" t="s">
        <v>58</v>
      </c>
      <c r="C34" s="5">
        <v>35456</v>
      </c>
      <c r="D34" s="5">
        <v>35562</v>
      </c>
      <c r="E34" s="5">
        <v>35786</v>
      </c>
      <c r="F34" s="5">
        <v>34830</v>
      </c>
      <c r="G34" s="5">
        <v>33292</v>
      </c>
      <c r="H34" s="5">
        <v>33161</v>
      </c>
    </row>
    <row r="35" spans="1:8" x14ac:dyDescent="0.2">
      <c r="A35" s="3" t="s">
        <v>42</v>
      </c>
      <c r="B35" s="4" t="s">
        <v>58</v>
      </c>
      <c r="C35" s="4" t="s">
        <v>58</v>
      </c>
      <c r="D35" s="5">
        <v>283</v>
      </c>
      <c r="E35" s="5">
        <v>91</v>
      </c>
      <c r="F35" s="5">
        <v>102</v>
      </c>
      <c r="G35" s="5">
        <v>98</v>
      </c>
      <c r="H35" s="5">
        <v>105</v>
      </c>
    </row>
    <row r="36" spans="1:8" x14ac:dyDescent="0.2">
      <c r="A36" s="3" t="s">
        <v>43</v>
      </c>
      <c r="B36" s="4" t="s">
        <v>58</v>
      </c>
      <c r="C36" s="4" t="s">
        <v>58</v>
      </c>
      <c r="D36" s="4" t="s">
        <v>58</v>
      </c>
      <c r="E36" s="5">
        <v>395</v>
      </c>
      <c r="F36" s="5">
        <v>6151</v>
      </c>
      <c r="G36" s="5">
        <v>6475</v>
      </c>
      <c r="H36" s="5">
        <v>6975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4" t="s">
        <v>58</v>
      </c>
      <c r="F37" s="4" t="s">
        <v>58</v>
      </c>
      <c r="G37" s="4" t="s">
        <v>58</v>
      </c>
      <c r="H37" s="4" t="s">
        <v>58</v>
      </c>
    </row>
    <row r="38" spans="1:8" x14ac:dyDescent="0.2">
      <c r="A38" s="3" t="s">
        <v>45</v>
      </c>
      <c r="B38" s="4" t="s">
        <v>58</v>
      </c>
      <c r="C38" s="4" t="s">
        <v>58</v>
      </c>
      <c r="D38" s="5">
        <v>7258</v>
      </c>
      <c r="E38" s="5">
        <v>5646</v>
      </c>
      <c r="F38" s="5">
        <v>5323</v>
      </c>
      <c r="G38" s="5">
        <v>5343</v>
      </c>
      <c r="H38" s="5">
        <v>4899</v>
      </c>
    </row>
    <row r="39" spans="1:8" x14ac:dyDescent="0.2">
      <c r="A39" s="3" t="s">
        <v>46</v>
      </c>
      <c r="B39" s="4" t="s">
        <v>58</v>
      </c>
      <c r="C39" s="5">
        <v>994</v>
      </c>
      <c r="D39" s="5">
        <v>1024</v>
      </c>
      <c r="E39" s="5">
        <v>926</v>
      </c>
      <c r="F39" s="5">
        <v>827</v>
      </c>
      <c r="G39" s="5">
        <v>874</v>
      </c>
      <c r="H39" s="5">
        <v>758</v>
      </c>
    </row>
    <row r="40" spans="1:8" x14ac:dyDescent="0.2">
      <c r="A40" s="3" t="s">
        <v>47</v>
      </c>
      <c r="B40" s="4" t="s">
        <v>58</v>
      </c>
      <c r="C40" s="5">
        <v>47</v>
      </c>
      <c r="D40" s="4" t="s">
        <v>58</v>
      </c>
      <c r="E40" s="4" t="s">
        <v>58</v>
      </c>
      <c r="F40" s="4" t="s">
        <v>58</v>
      </c>
      <c r="G40" s="4" t="s">
        <v>58</v>
      </c>
      <c r="H40" s="4" t="s">
        <v>58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8874</v>
      </c>
      <c r="F41" s="5">
        <v>9243</v>
      </c>
      <c r="G41" s="5">
        <v>9854</v>
      </c>
      <c r="H41" s="5">
        <v>10623</v>
      </c>
    </row>
    <row r="42" spans="1:8" x14ac:dyDescent="0.2">
      <c r="A42" s="3" t="s">
        <v>49</v>
      </c>
      <c r="B42" s="4" t="s">
        <v>58</v>
      </c>
      <c r="C42" s="5">
        <v>177424</v>
      </c>
      <c r="D42" s="5">
        <v>189942</v>
      </c>
      <c r="E42" s="5">
        <v>56939</v>
      </c>
      <c r="F42" s="5">
        <v>98549</v>
      </c>
      <c r="G42" s="5">
        <v>87632</v>
      </c>
      <c r="H42" s="5">
        <v>86945</v>
      </c>
    </row>
    <row r="43" spans="1:8" x14ac:dyDescent="0.2">
      <c r="A43" s="3" t="s">
        <v>50</v>
      </c>
      <c r="B43" s="4" t="s">
        <v>58</v>
      </c>
      <c r="C43" s="5">
        <v>147</v>
      </c>
      <c r="D43" s="5">
        <v>162</v>
      </c>
      <c r="E43" s="5">
        <v>151</v>
      </c>
      <c r="F43" s="5">
        <v>140</v>
      </c>
      <c r="G43" s="5">
        <v>234</v>
      </c>
      <c r="H43" s="5">
        <v>197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4" t="s">
        <v>58</v>
      </c>
      <c r="F44" s="4" t="s">
        <v>58</v>
      </c>
      <c r="G44" s="4" t="s">
        <v>58</v>
      </c>
      <c r="H44" s="4" t="s">
        <v>58</v>
      </c>
    </row>
    <row r="45" spans="1:8" x14ac:dyDescent="0.2">
      <c r="A45" s="3" t="s">
        <v>52</v>
      </c>
      <c r="B45" s="4" t="s">
        <v>58</v>
      </c>
      <c r="C45" s="4" t="s">
        <v>58</v>
      </c>
      <c r="D45" s="5">
        <v>3659</v>
      </c>
      <c r="E45" s="5">
        <v>4063</v>
      </c>
      <c r="F45" s="5">
        <v>3647</v>
      </c>
      <c r="G45" s="5">
        <v>3311</v>
      </c>
      <c r="H45" s="5">
        <v>3967</v>
      </c>
    </row>
    <row r="46" spans="1:8" x14ac:dyDescent="0.2">
      <c r="A46" s="3" t="s">
        <v>53</v>
      </c>
      <c r="B46" s="4" t="s">
        <v>58</v>
      </c>
      <c r="C46" s="5">
        <v>4808</v>
      </c>
      <c r="D46" s="5">
        <v>4650</v>
      </c>
      <c r="E46" s="5">
        <v>4866</v>
      </c>
      <c r="F46" s="5">
        <v>2667</v>
      </c>
      <c r="G46" s="5">
        <v>2494</v>
      </c>
      <c r="H46" s="5">
        <v>2779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4" t="s">
        <v>58</v>
      </c>
      <c r="E48" s="4" t="s">
        <v>58</v>
      </c>
      <c r="F48" s="4" t="s">
        <v>58</v>
      </c>
      <c r="G48" s="4" t="s">
        <v>58</v>
      </c>
      <c r="H48" s="4" t="s">
        <v>58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4" t="s">
        <v>58</v>
      </c>
      <c r="G49" s="4" t="s">
        <v>58</v>
      </c>
      <c r="H49" s="4" t="s">
        <v>58</v>
      </c>
    </row>
    <row r="50" spans="1:8" x14ac:dyDescent="0.2">
      <c r="A50" s="3" t="s">
        <v>57</v>
      </c>
      <c r="B50" s="4" t="s">
        <v>58</v>
      </c>
      <c r="C50" s="5">
        <v>442563</v>
      </c>
      <c r="D50" s="5">
        <v>514385</v>
      </c>
      <c r="E50" s="5">
        <v>578385</v>
      </c>
      <c r="F50" s="5">
        <v>617732</v>
      </c>
      <c r="G50" s="5">
        <v>633381</v>
      </c>
      <c r="H50" s="5">
        <v>565221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3"/>
  <sheetViews>
    <sheetView zoomScaleNormal="100" workbookViewId="0">
      <selection activeCell="H17" sqref="H17"/>
    </sheetView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44002.107866006947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69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5">
        <v>2632019</v>
      </c>
      <c r="G13" s="5">
        <v>2643630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5">
        <v>3154921</v>
      </c>
      <c r="G14" s="5">
        <v>3172729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91544</v>
      </c>
      <c r="D15" s="5">
        <v>90154</v>
      </c>
      <c r="E15" s="5">
        <v>91512</v>
      </c>
      <c r="F15" s="5">
        <v>97610</v>
      </c>
      <c r="G15" s="5">
        <v>104313</v>
      </c>
      <c r="H15" s="5">
        <v>95125</v>
      </c>
    </row>
    <row r="16" spans="1:8" x14ac:dyDescent="0.2">
      <c r="A16" s="3" t="s">
        <v>23</v>
      </c>
      <c r="B16" s="4" t="s">
        <v>58</v>
      </c>
      <c r="C16" s="5">
        <v>51718</v>
      </c>
      <c r="D16" s="5">
        <v>50873</v>
      </c>
      <c r="E16" s="5">
        <v>48537</v>
      </c>
      <c r="F16" s="5">
        <v>45200</v>
      </c>
      <c r="G16" s="5">
        <v>41023</v>
      </c>
      <c r="H16" s="5">
        <v>40473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67456</v>
      </c>
      <c r="F17" s="5">
        <v>62746</v>
      </c>
      <c r="G17" s="5">
        <v>59121</v>
      </c>
      <c r="H17" s="5">
        <v>58301</v>
      </c>
    </row>
    <row r="18" spans="1:8" x14ac:dyDescent="0.2">
      <c r="A18" s="3" t="s">
        <v>25</v>
      </c>
      <c r="B18" s="4" t="s">
        <v>58</v>
      </c>
      <c r="C18" s="5">
        <v>51226</v>
      </c>
      <c r="D18" s="5">
        <v>52016</v>
      </c>
      <c r="E18" s="5">
        <v>52500</v>
      </c>
      <c r="F18" s="5">
        <v>53386</v>
      </c>
      <c r="G18" s="5">
        <v>52010</v>
      </c>
      <c r="H18" s="5">
        <v>51532</v>
      </c>
    </row>
    <row r="19" spans="1:8" x14ac:dyDescent="0.2">
      <c r="A19" s="3" t="s">
        <v>26</v>
      </c>
      <c r="B19" s="4" t="s">
        <v>58</v>
      </c>
      <c r="C19" s="5">
        <v>442531</v>
      </c>
      <c r="D19" s="5">
        <v>458005</v>
      </c>
      <c r="E19" s="5">
        <v>450037</v>
      </c>
      <c r="F19" s="5">
        <v>448326</v>
      </c>
      <c r="G19" s="5">
        <v>448560</v>
      </c>
      <c r="H19" s="5">
        <v>442444</v>
      </c>
    </row>
    <row r="20" spans="1:8" x14ac:dyDescent="0.2">
      <c r="A20" s="3" t="s">
        <v>27</v>
      </c>
      <c r="B20" s="4" t="s">
        <v>58</v>
      </c>
      <c r="C20" s="5">
        <v>11228</v>
      </c>
      <c r="D20" s="5">
        <v>9768</v>
      </c>
      <c r="E20" s="5">
        <v>8591</v>
      </c>
      <c r="F20" s="5">
        <v>9168</v>
      </c>
      <c r="G20" s="5">
        <v>6582</v>
      </c>
      <c r="H20" s="5">
        <v>6475</v>
      </c>
    </row>
    <row r="21" spans="1:8" x14ac:dyDescent="0.2">
      <c r="A21" s="3" t="s">
        <v>28</v>
      </c>
      <c r="B21" s="4" t="s">
        <v>58</v>
      </c>
      <c r="C21" s="4" t="s">
        <v>58</v>
      </c>
      <c r="D21" s="5">
        <v>42206</v>
      </c>
      <c r="E21" s="5">
        <v>41846</v>
      </c>
      <c r="F21" s="5">
        <v>43377</v>
      </c>
      <c r="G21" s="5">
        <v>44189</v>
      </c>
      <c r="H21" s="5">
        <v>44474</v>
      </c>
    </row>
    <row r="22" spans="1:8" x14ac:dyDescent="0.2">
      <c r="A22" s="3" t="s">
        <v>29</v>
      </c>
      <c r="B22" s="4" t="s">
        <v>58</v>
      </c>
      <c r="C22" s="5">
        <v>75920</v>
      </c>
      <c r="D22" s="5">
        <v>71677</v>
      </c>
      <c r="E22" s="5">
        <v>70234</v>
      </c>
      <c r="F22" s="5">
        <v>69060</v>
      </c>
      <c r="G22" s="5">
        <v>79047</v>
      </c>
      <c r="H22" s="5">
        <v>81483</v>
      </c>
    </row>
    <row r="23" spans="1:8" x14ac:dyDescent="0.2">
      <c r="A23" s="3" t="s">
        <v>30</v>
      </c>
      <c r="B23" s="4" t="s">
        <v>58</v>
      </c>
      <c r="C23" s="4" t="s">
        <v>58</v>
      </c>
      <c r="D23" s="5">
        <v>215404</v>
      </c>
      <c r="E23" s="5">
        <v>213801</v>
      </c>
      <c r="F23" s="5">
        <v>216493</v>
      </c>
      <c r="G23" s="5">
        <v>219145</v>
      </c>
      <c r="H23" s="5">
        <v>218740</v>
      </c>
    </row>
    <row r="24" spans="1:8" x14ac:dyDescent="0.2">
      <c r="A24" s="3" t="s">
        <v>31</v>
      </c>
      <c r="B24" s="4" t="s">
        <v>58</v>
      </c>
      <c r="C24" s="4" t="s">
        <v>58</v>
      </c>
      <c r="D24" s="4" t="s">
        <v>58</v>
      </c>
      <c r="E24" s="4" t="s">
        <v>58</v>
      </c>
      <c r="F24" s="5">
        <v>434017</v>
      </c>
      <c r="G24" s="5">
        <v>434270</v>
      </c>
      <c r="H24" s="5">
        <v>470059</v>
      </c>
    </row>
    <row r="25" spans="1:8" x14ac:dyDescent="0.2">
      <c r="A25" s="3" t="s">
        <v>32</v>
      </c>
      <c r="B25" s="4" t="s">
        <v>58</v>
      </c>
      <c r="C25" s="4" t="s">
        <v>58</v>
      </c>
      <c r="D25" s="5">
        <v>30553</v>
      </c>
      <c r="E25" s="5">
        <v>30023</v>
      </c>
      <c r="F25" s="5">
        <v>29258</v>
      </c>
      <c r="G25" s="5">
        <v>30254</v>
      </c>
      <c r="H25" s="5">
        <v>29471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5">
        <v>229244</v>
      </c>
      <c r="F26" s="5">
        <v>240020</v>
      </c>
      <c r="G26" s="5">
        <v>255436</v>
      </c>
      <c r="H26" s="5">
        <v>277962</v>
      </c>
    </row>
    <row r="27" spans="1:8" x14ac:dyDescent="0.2">
      <c r="A27" s="3" t="s">
        <v>34</v>
      </c>
      <c r="B27" s="4" t="s">
        <v>58</v>
      </c>
      <c r="C27" s="5">
        <v>5530</v>
      </c>
      <c r="D27" s="5">
        <v>5109</v>
      </c>
      <c r="E27" s="5">
        <v>5553</v>
      </c>
      <c r="F27" s="5">
        <v>5745</v>
      </c>
      <c r="G27" s="5">
        <v>6236</v>
      </c>
      <c r="H27" s="5">
        <v>5836</v>
      </c>
    </row>
    <row r="28" spans="1:8" x14ac:dyDescent="0.2">
      <c r="A28" s="3" t="s">
        <v>35</v>
      </c>
      <c r="B28" s="4" t="s">
        <v>58</v>
      </c>
      <c r="C28" s="5">
        <v>20308</v>
      </c>
      <c r="D28" s="5">
        <v>16937</v>
      </c>
      <c r="E28" s="5">
        <v>15978</v>
      </c>
      <c r="F28" s="5">
        <v>15718</v>
      </c>
      <c r="G28" s="5">
        <v>14949</v>
      </c>
      <c r="H28" s="5">
        <v>13926</v>
      </c>
    </row>
    <row r="29" spans="1:8" x14ac:dyDescent="0.2">
      <c r="A29" s="3" t="s">
        <v>36</v>
      </c>
      <c r="B29" s="4" t="s">
        <v>58</v>
      </c>
      <c r="C29" s="5">
        <v>31934</v>
      </c>
      <c r="D29" s="5">
        <v>29637</v>
      </c>
      <c r="E29" s="5">
        <v>29025</v>
      </c>
      <c r="F29" s="5">
        <v>27354</v>
      </c>
      <c r="G29" s="5">
        <v>24414</v>
      </c>
      <c r="H29" s="5">
        <v>22316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1223</v>
      </c>
      <c r="E30" s="5">
        <v>951</v>
      </c>
      <c r="F30" s="5">
        <v>1109</v>
      </c>
      <c r="G30" s="5">
        <v>1241</v>
      </c>
      <c r="H30" s="5">
        <v>1174</v>
      </c>
    </row>
    <row r="31" spans="1:8" x14ac:dyDescent="0.2">
      <c r="A31" s="3" t="s">
        <v>38</v>
      </c>
      <c r="B31" s="4" t="s">
        <v>58</v>
      </c>
      <c r="C31" s="5">
        <v>51235</v>
      </c>
      <c r="D31" s="5">
        <v>39202</v>
      </c>
      <c r="E31" s="5">
        <v>36677</v>
      </c>
      <c r="F31" s="5">
        <v>33847</v>
      </c>
      <c r="G31" s="5">
        <v>33876</v>
      </c>
      <c r="H31" s="5">
        <v>33923</v>
      </c>
    </row>
    <row r="32" spans="1:8" x14ac:dyDescent="0.2">
      <c r="A32" s="3" t="s">
        <v>39</v>
      </c>
      <c r="B32" s="4" t="s">
        <v>58</v>
      </c>
      <c r="C32" s="5">
        <v>2378</v>
      </c>
      <c r="D32" s="5">
        <v>2327</v>
      </c>
      <c r="E32" s="5">
        <v>2289</v>
      </c>
      <c r="F32" s="5">
        <v>3108</v>
      </c>
      <c r="G32" s="5">
        <v>3030</v>
      </c>
      <c r="H32" s="5">
        <v>2864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5">
        <v>128123</v>
      </c>
      <c r="F33" s="5">
        <v>120146</v>
      </c>
      <c r="G33" s="5">
        <v>127956</v>
      </c>
      <c r="H33" s="5">
        <v>136072</v>
      </c>
    </row>
    <row r="34" spans="1:8" x14ac:dyDescent="0.2">
      <c r="A34" s="3" t="s">
        <v>41</v>
      </c>
      <c r="B34" s="4" t="s">
        <v>58</v>
      </c>
      <c r="C34" s="5">
        <v>47856</v>
      </c>
      <c r="D34" s="5">
        <v>43288</v>
      </c>
      <c r="E34" s="5">
        <v>45364</v>
      </c>
      <c r="F34" s="5">
        <v>47580</v>
      </c>
      <c r="G34" s="5">
        <v>45180</v>
      </c>
      <c r="H34" s="5">
        <v>43796</v>
      </c>
    </row>
    <row r="35" spans="1:8" x14ac:dyDescent="0.2">
      <c r="A35" s="3" t="s">
        <v>42</v>
      </c>
      <c r="B35" s="4" t="s">
        <v>58</v>
      </c>
      <c r="C35" s="4" t="s">
        <v>58</v>
      </c>
      <c r="D35" s="5">
        <v>334401</v>
      </c>
      <c r="E35" s="5">
        <v>322027</v>
      </c>
      <c r="F35" s="5">
        <v>311402</v>
      </c>
      <c r="G35" s="5">
        <v>305695</v>
      </c>
      <c r="H35" s="5">
        <v>291157</v>
      </c>
    </row>
    <row r="36" spans="1:8" x14ac:dyDescent="0.2">
      <c r="A36" s="3" t="s">
        <v>43</v>
      </c>
      <c r="B36" s="4" t="s">
        <v>58</v>
      </c>
      <c r="C36" s="5">
        <v>60296</v>
      </c>
      <c r="D36" s="5">
        <v>60286</v>
      </c>
      <c r="E36" s="5">
        <v>51278</v>
      </c>
      <c r="F36" s="5">
        <v>55836</v>
      </c>
      <c r="G36" s="5">
        <v>54608</v>
      </c>
      <c r="H36" s="5">
        <v>58843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5">
        <v>102446</v>
      </c>
      <c r="F37" s="5">
        <v>122892</v>
      </c>
      <c r="G37" s="5">
        <v>114049</v>
      </c>
      <c r="H37" s="5">
        <v>118855</v>
      </c>
    </row>
    <row r="38" spans="1:8" x14ac:dyDescent="0.2">
      <c r="A38" s="3" t="s">
        <v>45</v>
      </c>
      <c r="B38" s="4" t="s">
        <v>58</v>
      </c>
      <c r="C38" s="4" t="s">
        <v>58</v>
      </c>
      <c r="D38" s="5">
        <v>15814</v>
      </c>
      <c r="E38" s="5">
        <v>15106</v>
      </c>
      <c r="F38" s="5">
        <v>14510</v>
      </c>
      <c r="G38" s="5">
        <v>14593</v>
      </c>
      <c r="H38" s="5">
        <v>13701</v>
      </c>
    </row>
    <row r="39" spans="1:8" x14ac:dyDescent="0.2">
      <c r="A39" s="3" t="s">
        <v>46</v>
      </c>
      <c r="B39" s="4" t="s">
        <v>58</v>
      </c>
      <c r="C39" s="5">
        <v>41680</v>
      </c>
      <c r="D39" s="5">
        <v>39074</v>
      </c>
      <c r="E39" s="5">
        <v>34672</v>
      </c>
      <c r="F39" s="5">
        <v>32200</v>
      </c>
      <c r="G39" s="5">
        <v>30413</v>
      </c>
      <c r="H39" s="5">
        <v>28061</v>
      </c>
    </row>
    <row r="40" spans="1:8" x14ac:dyDescent="0.2">
      <c r="A40" s="3" t="s">
        <v>47</v>
      </c>
      <c r="B40" s="4" t="s">
        <v>58</v>
      </c>
      <c r="C40" s="5">
        <v>37169</v>
      </c>
      <c r="D40" s="5">
        <v>35881</v>
      </c>
      <c r="E40" s="5">
        <v>37109</v>
      </c>
      <c r="F40" s="5">
        <v>37677</v>
      </c>
      <c r="G40" s="5">
        <v>37588</v>
      </c>
      <c r="H40" s="5">
        <v>37222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55909</v>
      </c>
      <c r="F41" s="5">
        <v>54234</v>
      </c>
      <c r="G41" s="5">
        <v>53536</v>
      </c>
      <c r="H41" s="5">
        <v>53659</v>
      </c>
    </row>
    <row r="42" spans="1:8" x14ac:dyDescent="0.2">
      <c r="A42" s="3" t="s">
        <v>49</v>
      </c>
      <c r="B42" s="4" t="s">
        <v>58</v>
      </c>
      <c r="C42" s="5">
        <v>471982</v>
      </c>
      <c r="D42" s="5">
        <v>520897</v>
      </c>
      <c r="E42" s="5">
        <v>509788</v>
      </c>
      <c r="F42" s="5">
        <v>522902</v>
      </c>
      <c r="G42" s="5">
        <v>529099</v>
      </c>
      <c r="H42" s="5">
        <v>538639</v>
      </c>
    </row>
    <row r="43" spans="1:8" x14ac:dyDescent="0.2">
      <c r="A43" s="3" t="s">
        <v>50</v>
      </c>
      <c r="B43" s="4" t="s">
        <v>58</v>
      </c>
      <c r="C43" s="5">
        <v>3753</v>
      </c>
      <c r="D43" s="5">
        <v>3707</v>
      </c>
      <c r="E43" s="5">
        <v>3320</v>
      </c>
      <c r="F43" s="5">
        <v>3145</v>
      </c>
      <c r="G43" s="5">
        <v>2986</v>
      </c>
      <c r="H43" s="5">
        <v>2951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5">
        <v>273</v>
      </c>
      <c r="F44" s="5">
        <v>100</v>
      </c>
      <c r="G44" s="4" t="s">
        <v>58</v>
      </c>
      <c r="H44" s="5">
        <v>112</v>
      </c>
    </row>
    <row r="45" spans="1:8" x14ac:dyDescent="0.2">
      <c r="A45" s="3" t="s">
        <v>52</v>
      </c>
      <c r="B45" s="4" t="s">
        <v>58</v>
      </c>
      <c r="C45" s="4" t="s">
        <v>58</v>
      </c>
      <c r="D45" s="5">
        <v>45604</v>
      </c>
      <c r="E45" s="5">
        <v>44548</v>
      </c>
      <c r="F45" s="5">
        <v>47139</v>
      </c>
      <c r="G45" s="5">
        <v>44209</v>
      </c>
      <c r="H45" s="5">
        <v>41097</v>
      </c>
    </row>
    <row r="46" spans="1:8" x14ac:dyDescent="0.2">
      <c r="A46" s="3" t="s">
        <v>53</v>
      </c>
      <c r="B46" s="4" t="s">
        <v>58</v>
      </c>
      <c r="C46" s="5">
        <v>60551</v>
      </c>
      <c r="D46" s="5">
        <v>61003</v>
      </c>
      <c r="E46" s="5">
        <v>60877</v>
      </c>
      <c r="F46" s="5">
        <v>62338</v>
      </c>
      <c r="G46" s="5">
        <v>62676</v>
      </c>
      <c r="H46" s="5">
        <v>62738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5">
        <v>18588</v>
      </c>
      <c r="E48" s="5">
        <v>18081</v>
      </c>
      <c r="F48" s="5">
        <v>17281</v>
      </c>
      <c r="G48" s="5">
        <v>15955</v>
      </c>
      <c r="H48" s="5">
        <v>14633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5">
        <v>57259</v>
      </c>
      <c r="G49" s="5">
        <v>58873</v>
      </c>
      <c r="H49" s="5">
        <v>54888</v>
      </c>
    </row>
    <row r="50" spans="1:8" x14ac:dyDescent="0.2">
      <c r="A50" s="3" t="s">
        <v>57</v>
      </c>
      <c r="B50" s="4" t="s">
        <v>58</v>
      </c>
      <c r="C50" s="5">
        <v>425265</v>
      </c>
      <c r="D50" s="5">
        <v>649302</v>
      </c>
      <c r="E50" s="5">
        <v>687204</v>
      </c>
      <c r="F50" s="5">
        <v>768527</v>
      </c>
      <c r="G50" s="5">
        <v>651366</v>
      </c>
      <c r="H50" s="5">
        <v>644915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44002.107866006947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70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4" t="s">
        <v>58</v>
      </c>
      <c r="G13" s="4" t="s">
        <v>58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4" t="s">
        <v>58</v>
      </c>
      <c r="G14" s="4" t="s">
        <v>58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36863</v>
      </c>
      <c r="D15" s="5">
        <v>36564</v>
      </c>
      <c r="E15" s="5">
        <v>37148</v>
      </c>
      <c r="F15" s="5">
        <v>40951</v>
      </c>
      <c r="G15" s="5">
        <v>40083</v>
      </c>
      <c r="H15" s="5">
        <v>42832</v>
      </c>
    </row>
    <row r="16" spans="1:8" x14ac:dyDescent="0.2">
      <c r="A16" s="3" t="s">
        <v>23</v>
      </c>
      <c r="B16" s="4" t="s">
        <v>58</v>
      </c>
      <c r="C16" s="4" t="s">
        <v>58</v>
      </c>
      <c r="D16" s="4" t="s">
        <v>58</v>
      </c>
      <c r="E16" s="4" t="s">
        <v>58</v>
      </c>
      <c r="F16" s="4" t="s">
        <v>58</v>
      </c>
      <c r="G16" s="4" t="s">
        <v>58</v>
      </c>
      <c r="H16" s="4" t="s">
        <v>58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56787</v>
      </c>
      <c r="F17" s="5">
        <v>53012</v>
      </c>
      <c r="G17" s="5">
        <v>50558</v>
      </c>
      <c r="H17" s="5">
        <v>50517</v>
      </c>
    </row>
    <row r="18" spans="1:8" x14ac:dyDescent="0.2">
      <c r="A18" s="3" t="s">
        <v>25</v>
      </c>
      <c r="B18" s="4" t="s">
        <v>58</v>
      </c>
      <c r="C18" s="5">
        <v>24695</v>
      </c>
      <c r="D18" s="5">
        <v>25721</v>
      </c>
      <c r="E18" s="5">
        <v>25058</v>
      </c>
      <c r="F18" s="5">
        <v>24746</v>
      </c>
      <c r="G18" s="5">
        <v>24304</v>
      </c>
      <c r="H18" s="5">
        <v>23791</v>
      </c>
    </row>
    <row r="19" spans="1:8" x14ac:dyDescent="0.2">
      <c r="A19" s="3" t="s">
        <v>26</v>
      </c>
      <c r="B19" s="4" t="s">
        <v>58</v>
      </c>
      <c r="C19" s="5">
        <v>395671</v>
      </c>
      <c r="D19" s="5">
        <v>408177</v>
      </c>
      <c r="E19" s="5">
        <v>406394</v>
      </c>
      <c r="F19" s="5">
        <v>406719</v>
      </c>
      <c r="G19" s="5">
        <v>413371</v>
      </c>
      <c r="H19" s="5">
        <v>409300</v>
      </c>
    </row>
    <row r="20" spans="1:8" x14ac:dyDescent="0.2">
      <c r="A20" s="3" t="s">
        <v>27</v>
      </c>
      <c r="B20" s="4" t="s">
        <v>58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</row>
    <row r="21" spans="1:8" x14ac:dyDescent="0.2">
      <c r="A21" s="3" t="s">
        <v>28</v>
      </c>
      <c r="B21" s="4" t="s">
        <v>58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4" t="s">
        <v>58</v>
      </c>
    </row>
    <row r="22" spans="1:8" x14ac:dyDescent="0.2">
      <c r="A22" s="3" t="s">
        <v>29</v>
      </c>
      <c r="B22" s="4" t="s">
        <v>58</v>
      </c>
      <c r="C22" s="5">
        <v>48433</v>
      </c>
      <c r="D22" s="5">
        <v>51399</v>
      </c>
      <c r="E22" s="5">
        <v>48009</v>
      </c>
      <c r="F22" s="5">
        <v>46254</v>
      </c>
      <c r="G22" s="5">
        <v>51950</v>
      </c>
      <c r="H22" s="5">
        <v>52563</v>
      </c>
    </row>
    <row r="23" spans="1:8" x14ac:dyDescent="0.2">
      <c r="A23" s="3" t="s">
        <v>30</v>
      </c>
      <c r="B23" s="4" t="s">
        <v>58</v>
      </c>
      <c r="C23" s="4" t="s">
        <v>58</v>
      </c>
      <c r="D23" s="4" t="s">
        <v>58</v>
      </c>
      <c r="E23" s="4" t="s">
        <v>58</v>
      </c>
      <c r="F23" s="4" t="s">
        <v>58</v>
      </c>
      <c r="G23" s="4" t="s">
        <v>58</v>
      </c>
      <c r="H23" s="4" t="s">
        <v>58</v>
      </c>
    </row>
    <row r="24" spans="1:8" x14ac:dyDescent="0.2">
      <c r="A24" s="3" t="s">
        <v>31</v>
      </c>
      <c r="B24" s="4" t="s">
        <v>58</v>
      </c>
      <c r="C24" s="4" t="s">
        <v>58</v>
      </c>
      <c r="D24" s="4" t="s">
        <v>58</v>
      </c>
      <c r="E24" s="4" t="s">
        <v>58</v>
      </c>
      <c r="F24" s="4" t="s">
        <v>58</v>
      </c>
      <c r="G24" s="4" t="s">
        <v>58</v>
      </c>
      <c r="H24" s="4" t="s">
        <v>58</v>
      </c>
    </row>
    <row r="25" spans="1:8" x14ac:dyDescent="0.2">
      <c r="A25" s="3" t="s">
        <v>32</v>
      </c>
      <c r="B25" s="4" t="s">
        <v>58</v>
      </c>
      <c r="C25" s="4" t="s">
        <v>58</v>
      </c>
      <c r="D25" s="4" t="s">
        <v>58</v>
      </c>
      <c r="E25" s="5">
        <v>30023</v>
      </c>
      <c r="F25" s="4" t="s">
        <v>58</v>
      </c>
      <c r="G25" s="4" t="s">
        <v>58</v>
      </c>
      <c r="H25" s="5">
        <v>17467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4" t="s">
        <v>58</v>
      </c>
      <c r="F26" s="4" t="s">
        <v>58</v>
      </c>
      <c r="G26" s="4" t="s">
        <v>58</v>
      </c>
      <c r="H26" s="4" t="s">
        <v>58</v>
      </c>
    </row>
    <row r="27" spans="1:8" x14ac:dyDescent="0.2">
      <c r="A27" s="3" t="s">
        <v>34</v>
      </c>
      <c r="B27" s="4" t="s">
        <v>58</v>
      </c>
      <c r="C27" s="4" t="s">
        <v>58</v>
      </c>
      <c r="D27" s="4" t="s">
        <v>58</v>
      </c>
      <c r="E27" s="4" t="s">
        <v>58</v>
      </c>
      <c r="F27" s="4" t="s">
        <v>58</v>
      </c>
      <c r="G27" s="4" t="s">
        <v>58</v>
      </c>
      <c r="H27" s="4" t="s">
        <v>58</v>
      </c>
    </row>
    <row r="28" spans="1:8" x14ac:dyDescent="0.2">
      <c r="A28" s="3" t="s">
        <v>35</v>
      </c>
      <c r="B28" s="4" t="s">
        <v>58</v>
      </c>
      <c r="C28" s="5">
        <v>6776</v>
      </c>
      <c r="D28" s="5">
        <v>6341</v>
      </c>
      <c r="E28" s="5">
        <v>6242</v>
      </c>
      <c r="F28" s="5">
        <v>6195</v>
      </c>
      <c r="G28" s="5">
        <v>6030</v>
      </c>
      <c r="H28" s="5">
        <v>5563</v>
      </c>
    </row>
    <row r="29" spans="1:8" x14ac:dyDescent="0.2">
      <c r="A29" s="3" t="s">
        <v>36</v>
      </c>
      <c r="B29" s="4" t="s">
        <v>58</v>
      </c>
      <c r="C29" s="5">
        <v>17353</v>
      </c>
      <c r="D29" s="5">
        <v>16373</v>
      </c>
      <c r="E29" s="5">
        <v>16313</v>
      </c>
      <c r="F29" s="5">
        <v>14895</v>
      </c>
      <c r="G29" s="5">
        <v>12919</v>
      </c>
      <c r="H29" s="5">
        <v>11183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791</v>
      </c>
      <c r="E30" s="5">
        <v>629</v>
      </c>
      <c r="F30" s="5">
        <v>714</v>
      </c>
      <c r="G30" s="5">
        <v>677</v>
      </c>
      <c r="H30" s="5">
        <v>710</v>
      </c>
    </row>
    <row r="31" spans="1:8" x14ac:dyDescent="0.2">
      <c r="A31" s="3" t="s">
        <v>38</v>
      </c>
      <c r="B31" s="4" t="s">
        <v>58</v>
      </c>
      <c r="C31" s="4" t="s">
        <v>58</v>
      </c>
      <c r="D31" s="4" t="s">
        <v>58</v>
      </c>
      <c r="E31" s="4" t="s">
        <v>58</v>
      </c>
      <c r="F31" s="4" t="s">
        <v>58</v>
      </c>
      <c r="G31" s="4" t="s">
        <v>58</v>
      </c>
      <c r="H31" s="4" t="s">
        <v>58</v>
      </c>
    </row>
    <row r="32" spans="1:8" x14ac:dyDescent="0.2">
      <c r="A32" s="3" t="s">
        <v>39</v>
      </c>
      <c r="B32" s="4" t="s">
        <v>58</v>
      </c>
      <c r="C32" s="4" t="s">
        <v>58</v>
      </c>
      <c r="D32" s="4" t="s">
        <v>58</v>
      </c>
      <c r="E32" s="4" t="s">
        <v>58</v>
      </c>
      <c r="F32" s="4" t="s">
        <v>58</v>
      </c>
      <c r="G32" s="4" t="s">
        <v>58</v>
      </c>
      <c r="H32" s="4" t="s">
        <v>58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4" t="s">
        <v>58</v>
      </c>
      <c r="F33" s="4" t="s">
        <v>58</v>
      </c>
      <c r="G33" s="4" t="s">
        <v>58</v>
      </c>
      <c r="H33" s="4" t="s">
        <v>58</v>
      </c>
    </row>
    <row r="34" spans="1:8" x14ac:dyDescent="0.2">
      <c r="A34" s="3" t="s">
        <v>41</v>
      </c>
      <c r="B34" s="4" t="s">
        <v>58</v>
      </c>
      <c r="C34" s="4" t="s">
        <v>58</v>
      </c>
      <c r="D34" s="4" t="s">
        <v>58</v>
      </c>
      <c r="E34" s="4" t="s">
        <v>58</v>
      </c>
      <c r="F34" s="4" t="s">
        <v>58</v>
      </c>
      <c r="G34" s="4" t="s">
        <v>58</v>
      </c>
      <c r="H34" s="4" t="s">
        <v>58</v>
      </c>
    </row>
    <row r="35" spans="1:8" x14ac:dyDescent="0.2">
      <c r="A35" s="3" t="s">
        <v>42</v>
      </c>
      <c r="B35" s="4" t="s">
        <v>58</v>
      </c>
      <c r="C35" s="4" t="s">
        <v>58</v>
      </c>
      <c r="D35" s="4" t="s">
        <v>58</v>
      </c>
      <c r="E35" s="4" t="s">
        <v>58</v>
      </c>
      <c r="F35" s="4" t="s">
        <v>58</v>
      </c>
      <c r="G35" s="4" t="s">
        <v>58</v>
      </c>
      <c r="H35" s="4" t="s">
        <v>58</v>
      </c>
    </row>
    <row r="36" spans="1:8" x14ac:dyDescent="0.2">
      <c r="A36" s="3" t="s">
        <v>43</v>
      </c>
      <c r="B36" s="4" t="s">
        <v>58</v>
      </c>
      <c r="C36" s="4" t="s">
        <v>58</v>
      </c>
      <c r="D36" s="4" t="s">
        <v>58</v>
      </c>
      <c r="E36" s="4" t="s">
        <v>58</v>
      </c>
      <c r="F36" s="4" t="s">
        <v>58</v>
      </c>
      <c r="G36" s="4" t="s">
        <v>58</v>
      </c>
      <c r="H36" s="4" t="s">
        <v>58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4" t="s">
        <v>58</v>
      </c>
      <c r="F37" s="4" t="s">
        <v>58</v>
      </c>
      <c r="G37" s="4" t="s">
        <v>58</v>
      </c>
      <c r="H37" s="4" t="s">
        <v>58</v>
      </c>
    </row>
    <row r="38" spans="1:8" x14ac:dyDescent="0.2">
      <c r="A38" s="3" t="s">
        <v>45</v>
      </c>
      <c r="B38" s="4" t="s">
        <v>58</v>
      </c>
      <c r="C38" s="4" t="s">
        <v>58</v>
      </c>
      <c r="D38" s="5">
        <v>8513</v>
      </c>
      <c r="E38" s="5">
        <v>7976</v>
      </c>
      <c r="F38" s="5">
        <v>7618</v>
      </c>
      <c r="G38" s="5">
        <v>7692</v>
      </c>
      <c r="H38" s="5">
        <v>7058</v>
      </c>
    </row>
    <row r="39" spans="1:8" x14ac:dyDescent="0.2">
      <c r="A39" s="3" t="s">
        <v>46</v>
      </c>
      <c r="B39" s="4" t="s">
        <v>58</v>
      </c>
      <c r="C39" s="4" t="s">
        <v>58</v>
      </c>
      <c r="D39" s="4" t="s">
        <v>58</v>
      </c>
      <c r="E39" s="4" t="s">
        <v>58</v>
      </c>
      <c r="F39" s="4" t="s">
        <v>58</v>
      </c>
      <c r="G39" s="4" t="s">
        <v>58</v>
      </c>
      <c r="H39" s="4" t="s">
        <v>58</v>
      </c>
    </row>
    <row r="40" spans="1:8" x14ac:dyDescent="0.2">
      <c r="A40" s="3" t="s">
        <v>47</v>
      </c>
      <c r="B40" s="4" t="s">
        <v>58</v>
      </c>
      <c r="C40" s="4" t="s">
        <v>58</v>
      </c>
      <c r="D40" s="4" t="s">
        <v>58</v>
      </c>
      <c r="E40" s="4" t="s">
        <v>58</v>
      </c>
      <c r="F40" s="4" t="s">
        <v>58</v>
      </c>
      <c r="G40" s="4" t="s">
        <v>58</v>
      </c>
      <c r="H40" s="4" t="s">
        <v>58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4" t="s">
        <v>58</v>
      </c>
      <c r="F41" s="4" t="s">
        <v>58</v>
      </c>
      <c r="G41" s="4" t="s">
        <v>58</v>
      </c>
      <c r="H41" s="4" t="s">
        <v>58</v>
      </c>
    </row>
    <row r="42" spans="1:8" x14ac:dyDescent="0.2">
      <c r="A42" s="3" t="s">
        <v>49</v>
      </c>
      <c r="B42" s="4" t="s">
        <v>58</v>
      </c>
      <c r="C42" s="5">
        <v>493599</v>
      </c>
      <c r="D42" s="5">
        <v>520897</v>
      </c>
      <c r="E42" s="5">
        <v>526697</v>
      </c>
      <c r="F42" s="5">
        <v>542390</v>
      </c>
      <c r="G42" s="5">
        <v>548199</v>
      </c>
      <c r="H42" s="5">
        <v>555111</v>
      </c>
    </row>
    <row r="43" spans="1:8" x14ac:dyDescent="0.2">
      <c r="A43" s="3" t="s">
        <v>50</v>
      </c>
      <c r="B43" s="4" t="s">
        <v>58</v>
      </c>
      <c r="C43" s="4" t="s">
        <v>58</v>
      </c>
      <c r="D43" s="4" t="s">
        <v>58</v>
      </c>
      <c r="E43" s="4" t="s">
        <v>58</v>
      </c>
      <c r="F43" s="4" t="s">
        <v>58</v>
      </c>
      <c r="G43" s="4" t="s">
        <v>58</v>
      </c>
      <c r="H43" s="4" t="s">
        <v>58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5">
        <v>273</v>
      </c>
      <c r="F44" s="5">
        <v>100</v>
      </c>
      <c r="G44" s="4" t="s">
        <v>58</v>
      </c>
      <c r="H44" s="5">
        <v>112</v>
      </c>
    </row>
    <row r="45" spans="1:8" x14ac:dyDescent="0.2">
      <c r="A45" s="3" t="s">
        <v>52</v>
      </c>
      <c r="B45" s="4" t="s">
        <v>58</v>
      </c>
      <c r="C45" s="4" t="s">
        <v>58</v>
      </c>
      <c r="D45" s="5">
        <v>45604</v>
      </c>
      <c r="E45" s="5">
        <v>44548</v>
      </c>
      <c r="F45" s="5">
        <v>47139</v>
      </c>
      <c r="G45" s="5">
        <v>44209</v>
      </c>
      <c r="H45" s="5">
        <v>41097</v>
      </c>
    </row>
    <row r="46" spans="1:8" x14ac:dyDescent="0.2">
      <c r="A46" s="3" t="s">
        <v>53</v>
      </c>
      <c r="B46" s="4" t="s">
        <v>58</v>
      </c>
      <c r="C46" s="5">
        <v>40378</v>
      </c>
      <c r="D46" s="5">
        <v>39950</v>
      </c>
      <c r="E46" s="5">
        <v>39647</v>
      </c>
      <c r="F46" s="5">
        <v>41094</v>
      </c>
      <c r="G46" s="5">
        <v>41231</v>
      </c>
      <c r="H46" s="5">
        <v>41496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4" t="s">
        <v>58</v>
      </c>
      <c r="E48" s="4" t="s">
        <v>58</v>
      </c>
      <c r="F48" s="5">
        <v>14256</v>
      </c>
      <c r="G48" s="5">
        <v>14815</v>
      </c>
      <c r="H48" s="5">
        <v>11918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5">
        <v>38600</v>
      </c>
      <c r="G49" s="5">
        <v>40525</v>
      </c>
      <c r="H49" s="5">
        <v>38103</v>
      </c>
    </row>
    <row r="50" spans="1:8" x14ac:dyDescent="0.2">
      <c r="A50" s="3" t="s">
        <v>57</v>
      </c>
      <c r="B50" s="4" t="s">
        <v>58</v>
      </c>
      <c r="C50" s="4" t="s">
        <v>58</v>
      </c>
      <c r="D50" s="4" t="s">
        <v>58</v>
      </c>
      <c r="E50" s="4" t="s">
        <v>58</v>
      </c>
      <c r="F50" s="4" t="s">
        <v>58</v>
      </c>
      <c r="G50" s="4" t="s">
        <v>58</v>
      </c>
      <c r="H50" s="4" t="s">
        <v>58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44002.107866006947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71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4" t="s">
        <v>58</v>
      </c>
      <c r="G13" s="4" t="s">
        <v>58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4" t="s">
        <v>58</v>
      </c>
      <c r="G14" s="4" t="s">
        <v>58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54681</v>
      </c>
      <c r="D15" s="5">
        <v>53590</v>
      </c>
      <c r="E15" s="5">
        <v>54364</v>
      </c>
      <c r="F15" s="5">
        <v>56659</v>
      </c>
      <c r="G15" s="5">
        <v>64230</v>
      </c>
      <c r="H15" s="5">
        <v>52293</v>
      </c>
    </row>
    <row r="16" spans="1:8" x14ac:dyDescent="0.2">
      <c r="A16" s="3" t="s">
        <v>23</v>
      </c>
      <c r="B16" s="4" t="s">
        <v>58</v>
      </c>
      <c r="C16" s="5">
        <v>4879</v>
      </c>
      <c r="D16" s="5">
        <v>4664</v>
      </c>
      <c r="E16" s="5">
        <v>3964</v>
      </c>
      <c r="F16" s="5">
        <v>3029</v>
      </c>
      <c r="G16" s="5">
        <v>2661</v>
      </c>
      <c r="H16" s="5">
        <v>2600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10669</v>
      </c>
      <c r="F17" s="5">
        <v>9734</v>
      </c>
      <c r="G17" s="5">
        <v>8563</v>
      </c>
      <c r="H17" s="5">
        <v>7784</v>
      </c>
    </row>
    <row r="18" spans="1:8" x14ac:dyDescent="0.2">
      <c r="A18" s="3" t="s">
        <v>25</v>
      </c>
      <c r="B18" s="4" t="s">
        <v>58</v>
      </c>
      <c r="C18" s="5">
        <v>32520</v>
      </c>
      <c r="D18" s="5">
        <v>32558</v>
      </c>
      <c r="E18" s="5">
        <v>34676</v>
      </c>
      <c r="F18" s="5">
        <v>35859</v>
      </c>
      <c r="G18" s="5">
        <v>34433</v>
      </c>
      <c r="H18" s="5">
        <v>34409</v>
      </c>
    </row>
    <row r="19" spans="1:8" x14ac:dyDescent="0.2">
      <c r="A19" s="3" t="s">
        <v>26</v>
      </c>
      <c r="B19" s="4" t="s">
        <v>58</v>
      </c>
      <c r="C19" s="5">
        <v>77149</v>
      </c>
      <c r="D19" s="5">
        <v>83353</v>
      </c>
      <c r="E19" s="5">
        <v>81229</v>
      </c>
      <c r="F19" s="5">
        <v>81284</v>
      </c>
      <c r="G19" s="5">
        <v>77173</v>
      </c>
      <c r="H19" s="5">
        <v>74896</v>
      </c>
    </row>
    <row r="20" spans="1:8" x14ac:dyDescent="0.2">
      <c r="A20" s="3" t="s">
        <v>27</v>
      </c>
      <c r="B20" s="4" t="s">
        <v>58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</row>
    <row r="21" spans="1:8" x14ac:dyDescent="0.2">
      <c r="A21" s="3" t="s">
        <v>28</v>
      </c>
      <c r="B21" s="4" t="s">
        <v>58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4" t="s">
        <v>58</v>
      </c>
    </row>
    <row r="22" spans="1:8" x14ac:dyDescent="0.2">
      <c r="A22" s="3" t="s">
        <v>29</v>
      </c>
      <c r="B22" s="4" t="s">
        <v>58</v>
      </c>
      <c r="C22" s="5">
        <v>27487</v>
      </c>
      <c r="D22" s="5">
        <v>20278</v>
      </c>
      <c r="E22" s="5">
        <v>23446</v>
      </c>
      <c r="F22" s="5">
        <v>24142</v>
      </c>
      <c r="G22" s="5">
        <v>27097</v>
      </c>
      <c r="H22" s="5">
        <v>28920</v>
      </c>
    </row>
    <row r="23" spans="1:8" x14ac:dyDescent="0.2">
      <c r="A23" s="3" t="s">
        <v>30</v>
      </c>
      <c r="B23" s="4" t="s">
        <v>58</v>
      </c>
      <c r="C23" s="4" t="s">
        <v>58</v>
      </c>
      <c r="D23" s="4" t="s">
        <v>58</v>
      </c>
      <c r="E23" s="4" t="s">
        <v>58</v>
      </c>
      <c r="F23" s="4" t="s">
        <v>58</v>
      </c>
      <c r="G23" s="4" t="s">
        <v>58</v>
      </c>
      <c r="H23" s="4" t="s">
        <v>58</v>
      </c>
    </row>
    <row r="24" spans="1:8" x14ac:dyDescent="0.2">
      <c r="A24" s="3" t="s">
        <v>31</v>
      </c>
      <c r="B24" s="4" t="s">
        <v>58</v>
      </c>
      <c r="C24" s="4" t="s">
        <v>58</v>
      </c>
      <c r="D24" s="4" t="s">
        <v>58</v>
      </c>
      <c r="E24" s="4" t="s">
        <v>58</v>
      </c>
      <c r="F24" s="4" t="s">
        <v>58</v>
      </c>
      <c r="G24" s="4" t="s">
        <v>58</v>
      </c>
      <c r="H24" s="4" t="s">
        <v>58</v>
      </c>
    </row>
    <row r="25" spans="1:8" x14ac:dyDescent="0.2">
      <c r="A25" s="3" t="s">
        <v>32</v>
      </c>
      <c r="B25" s="4" t="s">
        <v>58</v>
      </c>
      <c r="C25" s="4" t="s">
        <v>58</v>
      </c>
      <c r="D25" s="4" t="s">
        <v>58</v>
      </c>
      <c r="E25" s="4" t="s">
        <v>58</v>
      </c>
      <c r="F25" s="4" t="s">
        <v>58</v>
      </c>
      <c r="G25" s="4" t="s">
        <v>58</v>
      </c>
      <c r="H25" s="5">
        <v>12004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4" t="s">
        <v>58</v>
      </c>
      <c r="F26" s="4" t="s">
        <v>58</v>
      </c>
      <c r="G26" s="4" t="s">
        <v>58</v>
      </c>
      <c r="H26" s="4" t="s">
        <v>58</v>
      </c>
    </row>
    <row r="27" spans="1:8" x14ac:dyDescent="0.2">
      <c r="A27" s="3" t="s">
        <v>34</v>
      </c>
      <c r="B27" s="4" t="s">
        <v>58</v>
      </c>
      <c r="C27" s="4" t="s">
        <v>58</v>
      </c>
      <c r="D27" s="4" t="s">
        <v>58</v>
      </c>
      <c r="E27" s="4" t="s">
        <v>58</v>
      </c>
      <c r="F27" s="4" t="s">
        <v>58</v>
      </c>
      <c r="G27" s="4" t="s">
        <v>58</v>
      </c>
      <c r="H27" s="4" t="s">
        <v>58</v>
      </c>
    </row>
    <row r="28" spans="1:8" x14ac:dyDescent="0.2">
      <c r="A28" s="3" t="s">
        <v>35</v>
      </c>
      <c r="B28" s="4" t="s">
        <v>58</v>
      </c>
      <c r="C28" s="5">
        <v>13532</v>
      </c>
      <c r="D28" s="5">
        <v>11380</v>
      </c>
      <c r="E28" s="5">
        <v>9736</v>
      </c>
      <c r="F28" s="5">
        <v>9523</v>
      </c>
      <c r="G28" s="5">
        <v>8919</v>
      </c>
      <c r="H28" s="5">
        <v>8363</v>
      </c>
    </row>
    <row r="29" spans="1:8" x14ac:dyDescent="0.2">
      <c r="A29" s="3" t="s">
        <v>36</v>
      </c>
      <c r="B29" s="4" t="s">
        <v>58</v>
      </c>
      <c r="C29" s="5">
        <v>14683</v>
      </c>
      <c r="D29" s="5">
        <v>13451</v>
      </c>
      <c r="E29" s="5">
        <v>12891</v>
      </c>
      <c r="F29" s="5">
        <v>12606</v>
      </c>
      <c r="G29" s="5">
        <v>11512</v>
      </c>
      <c r="H29" s="5">
        <v>11141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432</v>
      </c>
      <c r="E30" s="5">
        <v>322</v>
      </c>
      <c r="F30" s="5">
        <v>395</v>
      </c>
      <c r="G30" s="5">
        <v>564</v>
      </c>
      <c r="H30" s="5">
        <v>464</v>
      </c>
    </row>
    <row r="31" spans="1:8" x14ac:dyDescent="0.2">
      <c r="A31" s="3" t="s">
        <v>38</v>
      </c>
      <c r="B31" s="4" t="s">
        <v>58</v>
      </c>
      <c r="C31" s="4" t="s">
        <v>58</v>
      </c>
      <c r="D31" s="4" t="s">
        <v>58</v>
      </c>
      <c r="E31" s="4" t="s">
        <v>58</v>
      </c>
      <c r="F31" s="4" t="s">
        <v>58</v>
      </c>
      <c r="G31" s="4" t="s">
        <v>58</v>
      </c>
      <c r="H31" s="4" t="s">
        <v>58</v>
      </c>
    </row>
    <row r="32" spans="1:8" x14ac:dyDescent="0.2">
      <c r="A32" s="3" t="s">
        <v>39</v>
      </c>
      <c r="B32" s="4" t="s">
        <v>58</v>
      </c>
      <c r="C32" s="4" t="s">
        <v>58</v>
      </c>
      <c r="D32" s="4" t="s">
        <v>58</v>
      </c>
      <c r="E32" s="4" t="s">
        <v>58</v>
      </c>
      <c r="F32" s="4" t="s">
        <v>58</v>
      </c>
      <c r="G32" s="4" t="s">
        <v>58</v>
      </c>
      <c r="H32" s="4" t="s">
        <v>58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4" t="s">
        <v>58</v>
      </c>
      <c r="F33" s="4" t="s">
        <v>58</v>
      </c>
      <c r="G33" s="4" t="s">
        <v>58</v>
      </c>
      <c r="H33" s="4" t="s">
        <v>58</v>
      </c>
    </row>
    <row r="34" spans="1:8" x14ac:dyDescent="0.2">
      <c r="A34" s="3" t="s">
        <v>41</v>
      </c>
      <c r="B34" s="4" t="s">
        <v>58</v>
      </c>
      <c r="C34" s="4" t="s">
        <v>58</v>
      </c>
      <c r="D34" s="4" t="s">
        <v>58</v>
      </c>
      <c r="E34" s="4" t="s">
        <v>58</v>
      </c>
      <c r="F34" s="4" t="s">
        <v>58</v>
      </c>
      <c r="G34" s="4" t="s">
        <v>58</v>
      </c>
      <c r="H34" s="4" t="s">
        <v>58</v>
      </c>
    </row>
    <row r="35" spans="1:8" x14ac:dyDescent="0.2">
      <c r="A35" s="3" t="s">
        <v>42</v>
      </c>
      <c r="B35" s="4" t="s">
        <v>58</v>
      </c>
      <c r="C35" s="4" t="s">
        <v>58</v>
      </c>
      <c r="D35" s="4" t="s">
        <v>58</v>
      </c>
      <c r="E35" s="4" t="s">
        <v>58</v>
      </c>
      <c r="F35" s="4" t="s">
        <v>58</v>
      </c>
      <c r="G35" s="4" t="s">
        <v>58</v>
      </c>
      <c r="H35" s="4" t="s">
        <v>58</v>
      </c>
    </row>
    <row r="36" spans="1:8" x14ac:dyDescent="0.2">
      <c r="A36" s="3" t="s">
        <v>43</v>
      </c>
      <c r="B36" s="4" t="s">
        <v>58</v>
      </c>
      <c r="C36" s="4" t="s">
        <v>58</v>
      </c>
      <c r="D36" s="4" t="s">
        <v>58</v>
      </c>
      <c r="E36" s="4" t="s">
        <v>58</v>
      </c>
      <c r="F36" s="4" t="s">
        <v>58</v>
      </c>
      <c r="G36" s="4" t="s">
        <v>58</v>
      </c>
      <c r="H36" s="4" t="s">
        <v>58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4" t="s">
        <v>58</v>
      </c>
      <c r="F37" s="4" t="s">
        <v>58</v>
      </c>
      <c r="G37" s="4" t="s">
        <v>58</v>
      </c>
      <c r="H37" s="4" t="s">
        <v>58</v>
      </c>
    </row>
    <row r="38" spans="1:8" x14ac:dyDescent="0.2">
      <c r="A38" s="3" t="s">
        <v>45</v>
      </c>
      <c r="B38" s="4" t="s">
        <v>58</v>
      </c>
      <c r="C38" s="4" t="s">
        <v>58</v>
      </c>
      <c r="D38" s="5">
        <v>7325</v>
      </c>
      <c r="E38" s="5">
        <v>7150</v>
      </c>
      <c r="F38" s="5">
        <v>6913</v>
      </c>
      <c r="G38" s="5">
        <v>6954</v>
      </c>
      <c r="H38" s="5">
        <v>6680</v>
      </c>
    </row>
    <row r="39" spans="1:8" x14ac:dyDescent="0.2">
      <c r="A39" s="3" t="s">
        <v>46</v>
      </c>
      <c r="B39" s="4" t="s">
        <v>58</v>
      </c>
      <c r="C39" s="4" t="s">
        <v>58</v>
      </c>
      <c r="D39" s="4" t="s">
        <v>58</v>
      </c>
      <c r="E39" s="4" t="s">
        <v>58</v>
      </c>
      <c r="F39" s="4" t="s">
        <v>58</v>
      </c>
      <c r="G39" s="4" t="s">
        <v>58</v>
      </c>
      <c r="H39" s="4" t="s">
        <v>58</v>
      </c>
    </row>
    <row r="40" spans="1:8" x14ac:dyDescent="0.2">
      <c r="A40" s="3" t="s">
        <v>47</v>
      </c>
      <c r="B40" s="4" t="s">
        <v>58</v>
      </c>
      <c r="C40" s="4" t="s">
        <v>58</v>
      </c>
      <c r="D40" s="4" t="s">
        <v>58</v>
      </c>
      <c r="E40" s="4" t="s">
        <v>58</v>
      </c>
      <c r="F40" s="4" t="s">
        <v>58</v>
      </c>
      <c r="G40" s="4" t="s">
        <v>58</v>
      </c>
      <c r="H40" s="4" t="s">
        <v>58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4" t="s">
        <v>58</v>
      </c>
      <c r="F41" s="4" t="s">
        <v>58</v>
      </c>
      <c r="G41" s="4" t="s">
        <v>58</v>
      </c>
      <c r="H41" s="4" t="s">
        <v>58</v>
      </c>
    </row>
    <row r="42" spans="1:8" x14ac:dyDescent="0.2">
      <c r="A42" s="3" t="s">
        <v>49</v>
      </c>
      <c r="B42" s="4" t="s">
        <v>58</v>
      </c>
      <c r="C42" s="4" t="s">
        <v>58</v>
      </c>
      <c r="D42" s="4" t="s">
        <v>58</v>
      </c>
      <c r="E42" s="4" t="s">
        <v>58</v>
      </c>
      <c r="F42" s="4" t="s">
        <v>58</v>
      </c>
      <c r="G42" s="4" t="s">
        <v>58</v>
      </c>
      <c r="H42" s="4" t="s">
        <v>58</v>
      </c>
    </row>
    <row r="43" spans="1:8" x14ac:dyDescent="0.2">
      <c r="A43" s="3" t="s">
        <v>50</v>
      </c>
      <c r="B43" s="4" t="s">
        <v>58</v>
      </c>
      <c r="C43" s="4" t="s">
        <v>58</v>
      </c>
      <c r="D43" s="4" t="s">
        <v>58</v>
      </c>
      <c r="E43" s="4" t="s">
        <v>58</v>
      </c>
      <c r="F43" s="4" t="s">
        <v>58</v>
      </c>
      <c r="G43" s="4" t="s">
        <v>58</v>
      </c>
      <c r="H43" s="4" t="s">
        <v>58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5">
        <v>0</v>
      </c>
      <c r="F44" s="5">
        <v>0</v>
      </c>
      <c r="G44" s="4" t="s">
        <v>58</v>
      </c>
      <c r="H44" s="5">
        <v>0</v>
      </c>
    </row>
    <row r="45" spans="1:8" x14ac:dyDescent="0.2">
      <c r="A45" s="3" t="s">
        <v>52</v>
      </c>
      <c r="B45" s="4" t="s">
        <v>58</v>
      </c>
      <c r="C45" s="4" t="s">
        <v>58</v>
      </c>
      <c r="D45" s="4" t="s">
        <v>58</v>
      </c>
      <c r="E45" s="4" t="s">
        <v>58</v>
      </c>
      <c r="F45" s="4" t="s">
        <v>58</v>
      </c>
      <c r="G45" s="4" t="s">
        <v>58</v>
      </c>
      <c r="H45" s="4" t="s">
        <v>58</v>
      </c>
    </row>
    <row r="46" spans="1:8" x14ac:dyDescent="0.2">
      <c r="A46" s="3" t="s">
        <v>53</v>
      </c>
      <c r="B46" s="4" t="s">
        <v>58</v>
      </c>
      <c r="C46" s="5">
        <v>20179</v>
      </c>
      <c r="D46" s="5">
        <v>21065</v>
      </c>
      <c r="E46" s="5">
        <v>21230</v>
      </c>
      <c r="F46" s="5">
        <v>21244</v>
      </c>
      <c r="G46" s="5">
        <v>21445</v>
      </c>
      <c r="H46" s="5">
        <v>21242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4" t="s">
        <v>58</v>
      </c>
      <c r="E48" s="4" t="s">
        <v>58</v>
      </c>
      <c r="F48" s="5">
        <v>3025</v>
      </c>
      <c r="G48" s="5">
        <v>1140</v>
      </c>
      <c r="H48" s="5">
        <v>2715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5">
        <v>18659</v>
      </c>
      <c r="G49" s="5">
        <v>18348</v>
      </c>
      <c r="H49" s="5">
        <v>16785</v>
      </c>
    </row>
    <row r="50" spans="1:8" x14ac:dyDescent="0.2">
      <c r="A50" s="3" t="s">
        <v>57</v>
      </c>
      <c r="B50" s="4" t="s">
        <v>58</v>
      </c>
      <c r="C50" s="4" t="s">
        <v>58</v>
      </c>
      <c r="D50" s="4" t="s">
        <v>58</v>
      </c>
      <c r="E50" s="4" t="s">
        <v>58</v>
      </c>
      <c r="F50" s="4" t="s">
        <v>58</v>
      </c>
      <c r="G50" s="4" t="s">
        <v>58</v>
      </c>
      <c r="H50" s="4" t="s">
        <v>58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44002.107866006947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72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5">
        <v>1229907</v>
      </c>
      <c r="D13" s="4" t="s">
        <v>58</v>
      </c>
      <c r="E13" s="4" t="s">
        <v>58</v>
      </c>
      <c r="F13" s="5">
        <v>1542113</v>
      </c>
      <c r="G13" s="5">
        <v>1536470</v>
      </c>
      <c r="H13" s="4" t="s">
        <v>58</v>
      </c>
    </row>
    <row r="14" spans="1:8" x14ac:dyDescent="0.2">
      <c r="A14" s="3" t="s">
        <v>21</v>
      </c>
      <c r="B14" s="4" t="s">
        <v>58</v>
      </c>
      <c r="C14" s="5">
        <v>1469512</v>
      </c>
      <c r="D14" s="4" t="s">
        <v>58</v>
      </c>
      <c r="E14" s="4" t="s">
        <v>58</v>
      </c>
      <c r="F14" s="5">
        <v>1770616</v>
      </c>
      <c r="G14" s="5">
        <v>1789570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36977</v>
      </c>
      <c r="D15" s="5">
        <v>38544</v>
      </c>
      <c r="E15" s="5">
        <v>38432</v>
      </c>
      <c r="F15" s="5">
        <v>38524</v>
      </c>
      <c r="G15" s="5">
        <v>41707</v>
      </c>
      <c r="H15" s="5">
        <v>44909</v>
      </c>
    </row>
    <row r="16" spans="1:8" x14ac:dyDescent="0.2">
      <c r="A16" s="3" t="s">
        <v>23</v>
      </c>
      <c r="B16" s="4" t="s">
        <v>58</v>
      </c>
      <c r="C16" s="5">
        <v>31513</v>
      </c>
      <c r="D16" s="5">
        <v>33548</v>
      </c>
      <c r="E16" s="5">
        <v>29523</v>
      </c>
      <c r="F16" s="5">
        <v>26691</v>
      </c>
      <c r="G16" s="5">
        <v>24567</v>
      </c>
      <c r="H16" s="5">
        <v>24617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40515</v>
      </c>
      <c r="F17" s="5">
        <v>38599</v>
      </c>
      <c r="G17" s="5">
        <v>33920</v>
      </c>
      <c r="H17" s="5">
        <v>31838</v>
      </c>
    </row>
    <row r="18" spans="1:8" x14ac:dyDescent="0.2">
      <c r="A18" s="3" t="s">
        <v>25</v>
      </c>
      <c r="B18" s="4" t="s">
        <v>58</v>
      </c>
      <c r="C18" s="5">
        <v>22029</v>
      </c>
      <c r="D18" s="5">
        <v>24792</v>
      </c>
      <c r="E18" s="5">
        <v>24563</v>
      </c>
      <c r="F18" s="5">
        <v>25786</v>
      </c>
      <c r="G18" s="5">
        <v>27478</v>
      </c>
      <c r="H18" s="5">
        <v>27435</v>
      </c>
    </row>
    <row r="19" spans="1:8" x14ac:dyDescent="0.2">
      <c r="A19" s="3" t="s">
        <v>26</v>
      </c>
      <c r="B19" s="4" t="s">
        <v>58</v>
      </c>
      <c r="C19" s="5">
        <v>240478</v>
      </c>
      <c r="D19" s="5">
        <v>263366</v>
      </c>
      <c r="E19" s="5">
        <v>276639</v>
      </c>
      <c r="F19" s="5">
        <v>281526</v>
      </c>
      <c r="G19" s="5">
        <v>284892</v>
      </c>
      <c r="H19" s="5">
        <v>291067</v>
      </c>
    </row>
    <row r="20" spans="1:8" x14ac:dyDescent="0.2">
      <c r="A20" s="3" t="s">
        <v>27</v>
      </c>
      <c r="B20" s="4" t="s">
        <v>58</v>
      </c>
      <c r="C20" s="5">
        <v>4685</v>
      </c>
      <c r="D20" s="5">
        <v>4451</v>
      </c>
      <c r="E20" s="5">
        <v>4525</v>
      </c>
      <c r="F20" s="5">
        <v>4600</v>
      </c>
      <c r="G20" s="5">
        <v>4294</v>
      </c>
      <c r="H20" s="5">
        <v>4026</v>
      </c>
    </row>
    <row r="21" spans="1:8" x14ac:dyDescent="0.2">
      <c r="A21" s="3" t="s">
        <v>28</v>
      </c>
      <c r="B21" s="4" t="s">
        <v>58</v>
      </c>
      <c r="C21" s="4" t="s">
        <v>58</v>
      </c>
      <c r="D21" s="5">
        <v>16580</v>
      </c>
      <c r="E21" s="5">
        <v>19665</v>
      </c>
      <c r="F21" s="5">
        <v>19041</v>
      </c>
      <c r="G21" s="5">
        <v>20500</v>
      </c>
      <c r="H21" s="5">
        <v>22312</v>
      </c>
    </row>
    <row r="22" spans="1:8" x14ac:dyDescent="0.2">
      <c r="A22" s="3" t="s">
        <v>29</v>
      </c>
      <c r="B22" s="4" t="s">
        <v>58</v>
      </c>
      <c r="C22" s="5">
        <v>15173</v>
      </c>
      <c r="D22" s="5">
        <v>17493</v>
      </c>
      <c r="E22" s="5">
        <v>16102</v>
      </c>
      <c r="F22" s="5">
        <v>20418</v>
      </c>
      <c r="G22" s="5">
        <v>28375</v>
      </c>
      <c r="H22" s="5">
        <v>26044</v>
      </c>
    </row>
    <row r="23" spans="1:8" x14ac:dyDescent="0.2">
      <c r="A23" s="3" t="s">
        <v>30</v>
      </c>
      <c r="B23" s="4" t="s">
        <v>58</v>
      </c>
      <c r="C23" s="4" t="s">
        <v>58</v>
      </c>
      <c r="D23" s="5">
        <v>57443</v>
      </c>
      <c r="E23" s="5">
        <v>74595</v>
      </c>
      <c r="F23" s="5">
        <v>95778</v>
      </c>
      <c r="G23" s="5">
        <v>92042</v>
      </c>
      <c r="H23" s="5">
        <v>102289</v>
      </c>
    </row>
    <row r="24" spans="1:8" x14ac:dyDescent="0.2">
      <c r="A24" s="3" t="s">
        <v>31</v>
      </c>
      <c r="B24" s="4" t="s">
        <v>58</v>
      </c>
      <c r="C24" s="5">
        <v>71073</v>
      </c>
      <c r="D24" s="4" t="s">
        <v>58</v>
      </c>
      <c r="E24" s="4" t="s">
        <v>58</v>
      </c>
      <c r="F24" s="5">
        <v>303683</v>
      </c>
      <c r="G24" s="5">
        <v>328867</v>
      </c>
      <c r="H24" s="5">
        <v>342996</v>
      </c>
    </row>
    <row r="25" spans="1:8" x14ac:dyDescent="0.2">
      <c r="A25" s="3" t="s">
        <v>32</v>
      </c>
      <c r="B25" s="4" t="s">
        <v>58</v>
      </c>
      <c r="C25" s="4" t="s">
        <v>58</v>
      </c>
      <c r="D25" s="5">
        <v>18715</v>
      </c>
      <c r="E25" s="5">
        <v>16334</v>
      </c>
      <c r="F25" s="5">
        <v>18683</v>
      </c>
      <c r="G25" s="5">
        <v>19050</v>
      </c>
      <c r="H25" s="5">
        <v>19268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5">
        <v>152719</v>
      </c>
      <c r="F26" s="5">
        <v>148980</v>
      </c>
      <c r="G26" s="5">
        <v>158305</v>
      </c>
      <c r="H26" s="5">
        <v>169002</v>
      </c>
    </row>
    <row r="27" spans="1:8" x14ac:dyDescent="0.2">
      <c r="A27" s="3" t="s">
        <v>34</v>
      </c>
      <c r="B27" s="4" t="s">
        <v>58</v>
      </c>
      <c r="C27" s="5">
        <v>3613</v>
      </c>
      <c r="D27" s="5">
        <v>4252</v>
      </c>
      <c r="E27" s="5">
        <v>5408</v>
      </c>
      <c r="F27" s="5">
        <v>6407</v>
      </c>
      <c r="G27" s="5">
        <v>5970</v>
      </c>
      <c r="H27" s="5">
        <v>6420</v>
      </c>
    </row>
    <row r="28" spans="1:8" x14ac:dyDescent="0.2">
      <c r="A28" s="3" t="s">
        <v>35</v>
      </c>
      <c r="B28" s="4" t="s">
        <v>58</v>
      </c>
      <c r="C28" s="5">
        <v>5289</v>
      </c>
      <c r="D28" s="5">
        <v>5713</v>
      </c>
      <c r="E28" s="5">
        <v>6517</v>
      </c>
      <c r="F28" s="5">
        <v>6708</v>
      </c>
      <c r="G28" s="5">
        <v>6879</v>
      </c>
      <c r="H28" s="5">
        <v>6742</v>
      </c>
    </row>
    <row r="29" spans="1:8" x14ac:dyDescent="0.2">
      <c r="A29" s="3" t="s">
        <v>36</v>
      </c>
      <c r="B29" s="4" t="s">
        <v>58</v>
      </c>
      <c r="C29" s="5">
        <v>10783</v>
      </c>
      <c r="D29" s="5">
        <v>10047</v>
      </c>
      <c r="E29" s="5">
        <v>9316</v>
      </c>
      <c r="F29" s="5">
        <v>8879</v>
      </c>
      <c r="G29" s="5">
        <v>8427</v>
      </c>
      <c r="H29" s="5">
        <v>8580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851</v>
      </c>
      <c r="E30" s="5">
        <v>761</v>
      </c>
      <c r="F30" s="5">
        <v>1220</v>
      </c>
      <c r="G30" s="5">
        <v>1232</v>
      </c>
      <c r="H30" s="5">
        <v>1151</v>
      </c>
    </row>
    <row r="31" spans="1:8" x14ac:dyDescent="0.2">
      <c r="A31" s="3" t="s">
        <v>38</v>
      </c>
      <c r="B31" s="4" t="s">
        <v>58</v>
      </c>
      <c r="C31" s="5">
        <v>17959</v>
      </c>
      <c r="D31" s="5">
        <v>18626</v>
      </c>
      <c r="E31" s="5">
        <v>20148</v>
      </c>
      <c r="F31" s="5">
        <v>19381</v>
      </c>
      <c r="G31" s="5">
        <v>19561</v>
      </c>
      <c r="H31" s="5">
        <v>19077</v>
      </c>
    </row>
    <row r="32" spans="1:8" x14ac:dyDescent="0.2">
      <c r="A32" s="3" t="s">
        <v>39</v>
      </c>
      <c r="B32" s="4" t="s">
        <v>58</v>
      </c>
      <c r="C32" s="5">
        <v>1409</v>
      </c>
      <c r="D32" s="5">
        <v>1414</v>
      </c>
      <c r="E32" s="5">
        <v>1514</v>
      </c>
      <c r="F32" s="5">
        <v>1340</v>
      </c>
      <c r="G32" s="5">
        <v>1895</v>
      </c>
      <c r="H32" s="5">
        <v>2196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5">
        <v>46064</v>
      </c>
      <c r="F33" s="5">
        <v>48993</v>
      </c>
      <c r="G33" s="5">
        <v>49011</v>
      </c>
      <c r="H33" s="5">
        <v>51111</v>
      </c>
    </row>
    <row r="34" spans="1:8" x14ac:dyDescent="0.2">
      <c r="A34" s="3" t="s">
        <v>41</v>
      </c>
      <c r="B34" s="4" t="s">
        <v>58</v>
      </c>
      <c r="C34" s="5">
        <v>30435</v>
      </c>
      <c r="D34" s="5">
        <v>30652</v>
      </c>
      <c r="E34" s="5">
        <v>29259</v>
      </c>
      <c r="F34" s="5">
        <v>27261</v>
      </c>
      <c r="G34" s="5">
        <v>27011</v>
      </c>
      <c r="H34" s="5">
        <v>27700</v>
      </c>
    </row>
    <row r="35" spans="1:8" x14ac:dyDescent="0.2">
      <c r="A35" s="3" t="s">
        <v>42</v>
      </c>
      <c r="B35" s="4" t="s">
        <v>58</v>
      </c>
      <c r="C35" s="4" t="s">
        <v>58</v>
      </c>
      <c r="D35" s="5">
        <v>227986</v>
      </c>
      <c r="E35" s="5">
        <v>223539</v>
      </c>
      <c r="F35" s="5">
        <v>211188</v>
      </c>
      <c r="G35" s="5">
        <v>162405</v>
      </c>
      <c r="H35" s="5">
        <v>169697</v>
      </c>
    </row>
    <row r="36" spans="1:8" x14ac:dyDescent="0.2">
      <c r="A36" s="3" t="s">
        <v>43</v>
      </c>
      <c r="B36" s="4" t="s">
        <v>58</v>
      </c>
      <c r="C36" s="5">
        <v>43721</v>
      </c>
      <c r="D36" s="5">
        <v>43579</v>
      </c>
      <c r="E36" s="5">
        <v>38436</v>
      </c>
      <c r="F36" s="5">
        <v>39564</v>
      </c>
      <c r="G36" s="5">
        <v>40904</v>
      </c>
      <c r="H36" s="5">
        <v>32315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5">
        <v>68362</v>
      </c>
      <c r="F37" s="5">
        <v>69029</v>
      </c>
      <c r="G37" s="5">
        <v>69174</v>
      </c>
      <c r="H37" s="5">
        <v>72874</v>
      </c>
    </row>
    <row r="38" spans="1:8" x14ac:dyDescent="0.2">
      <c r="A38" s="3" t="s">
        <v>45</v>
      </c>
      <c r="B38" s="4" t="s">
        <v>58</v>
      </c>
      <c r="C38" s="4" t="s">
        <v>58</v>
      </c>
      <c r="D38" s="5">
        <v>7073</v>
      </c>
      <c r="E38" s="5">
        <v>7334</v>
      </c>
      <c r="F38" s="5">
        <v>7376</v>
      </c>
      <c r="G38" s="5">
        <v>6498</v>
      </c>
      <c r="H38" s="5">
        <v>7084</v>
      </c>
    </row>
    <row r="39" spans="1:8" x14ac:dyDescent="0.2">
      <c r="A39" s="3" t="s">
        <v>46</v>
      </c>
      <c r="B39" s="4" t="s">
        <v>58</v>
      </c>
      <c r="C39" s="5">
        <v>30373</v>
      </c>
      <c r="D39" s="5">
        <v>29625</v>
      </c>
      <c r="E39" s="5">
        <v>28660</v>
      </c>
      <c r="F39" s="5">
        <v>25070</v>
      </c>
      <c r="G39" s="5">
        <v>23685</v>
      </c>
      <c r="H39" s="5">
        <v>21291</v>
      </c>
    </row>
    <row r="40" spans="1:8" x14ac:dyDescent="0.2">
      <c r="A40" s="3" t="s">
        <v>47</v>
      </c>
      <c r="B40" s="4" t="s">
        <v>58</v>
      </c>
      <c r="C40" s="5">
        <v>7434</v>
      </c>
      <c r="D40" s="5">
        <v>7799</v>
      </c>
      <c r="E40" s="5">
        <v>8407</v>
      </c>
      <c r="F40" s="5">
        <v>8663</v>
      </c>
      <c r="G40" s="5">
        <v>9646</v>
      </c>
      <c r="H40" s="5">
        <v>9373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37705</v>
      </c>
      <c r="F41" s="5">
        <v>38724</v>
      </c>
      <c r="G41" s="5">
        <v>39668</v>
      </c>
      <c r="H41" s="5">
        <v>41099</v>
      </c>
    </row>
    <row r="42" spans="1:8" x14ac:dyDescent="0.2">
      <c r="A42" s="3" t="s">
        <v>49</v>
      </c>
      <c r="B42" s="4" t="s">
        <v>58</v>
      </c>
      <c r="C42" s="5">
        <v>239605</v>
      </c>
      <c r="D42" s="5">
        <v>278421</v>
      </c>
      <c r="E42" s="5">
        <v>227920</v>
      </c>
      <c r="F42" s="5">
        <v>228503</v>
      </c>
      <c r="G42" s="5">
        <v>253100</v>
      </c>
      <c r="H42" s="5">
        <v>265452</v>
      </c>
    </row>
    <row r="43" spans="1:8" x14ac:dyDescent="0.2">
      <c r="A43" s="3" t="s">
        <v>50</v>
      </c>
      <c r="B43" s="4" t="s">
        <v>58</v>
      </c>
      <c r="C43" s="5">
        <v>1725</v>
      </c>
      <c r="D43" s="5">
        <v>1820</v>
      </c>
      <c r="E43" s="5">
        <v>1675</v>
      </c>
      <c r="F43" s="5">
        <v>1645</v>
      </c>
      <c r="G43" s="5">
        <v>1585</v>
      </c>
      <c r="H43" s="5">
        <v>1575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5">
        <v>237</v>
      </c>
      <c r="F44" s="5">
        <v>111</v>
      </c>
      <c r="G44" s="4" t="s">
        <v>58</v>
      </c>
      <c r="H44" s="5">
        <v>84</v>
      </c>
    </row>
    <row r="45" spans="1:8" x14ac:dyDescent="0.2">
      <c r="A45" s="3" t="s">
        <v>52</v>
      </c>
      <c r="B45" s="4" t="s">
        <v>58</v>
      </c>
      <c r="C45" s="4" t="s">
        <v>58</v>
      </c>
      <c r="D45" s="5">
        <v>20408</v>
      </c>
      <c r="E45" s="5">
        <v>20103</v>
      </c>
      <c r="F45" s="5">
        <v>21475</v>
      </c>
      <c r="G45" s="5">
        <v>20511</v>
      </c>
      <c r="H45" s="5">
        <v>24146</v>
      </c>
    </row>
    <row r="46" spans="1:8" x14ac:dyDescent="0.2">
      <c r="A46" s="3" t="s">
        <v>53</v>
      </c>
      <c r="B46" s="4" t="s">
        <v>58</v>
      </c>
      <c r="C46" s="5">
        <v>21938</v>
      </c>
      <c r="D46" s="5">
        <v>23221</v>
      </c>
      <c r="E46" s="5">
        <v>23294</v>
      </c>
      <c r="F46" s="5">
        <v>23955</v>
      </c>
      <c r="G46" s="5">
        <v>24557</v>
      </c>
      <c r="H46" s="5">
        <v>25265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5">
        <v>2681</v>
      </c>
      <c r="E48" s="5">
        <v>3891</v>
      </c>
      <c r="F48" s="5">
        <v>2959</v>
      </c>
      <c r="G48" s="5">
        <v>2959</v>
      </c>
      <c r="H48" s="5">
        <v>2767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5">
        <v>15313</v>
      </c>
      <c r="G49" s="5">
        <v>18367</v>
      </c>
      <c r="H49" s="5">
        <v>18164</v>
      </c>
    </row>
    <row r="50" spans="1:8" x14ac:dyDescent="0.2">
      <c r="A50" s="3" t="s">
        <v>57</v>
      </c>
      <c r="B50" s="4" t="s">
        <v>58</v>
      </c>
      <c r="C50" s="5">
        <v>97554</v>
      </c>
      <c r="D50" s="5">
        <v>75109</v>
      </c>
      <c r="E50" s="5">
        <v>105443</v>
      </c>
      <c r="F50" s="5">
        <v>134958</v>
      </c>
      <c r="G50" s="5">
        <v>137384</v>
      </c>
      <c r="H50" s="5">
        <v>155680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44002.107866018516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73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4" t="s">
        <v>58</v>
      </c>
      <c r="G13" s="4" t="s">
        <v>58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4" t="s">
        <v>58</v>
      </c>
      <c r="G14" s="4" t="s">
        <v>58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36977</v>
      </c>
      <c r="D15" s="5">
        <v>38544</v>
      </c>
      <c r="E15" s="5">
        <v>38432</v>
      </c>
      <c r="F15" s="5">
        <v>38524</v>
      </c>
      <c r="G15" s="5">
        <v>41707</v>
      </c>
      <c r="H15" s="5">
        <v>44909</v>
      </c>
    </row>
    <row r="16" spans="1:8" x14ac:dyDescent="0.2">
      <c r="A16" s="3" t="s">
        <v>23</v>
      </c>
      <c r="B16" s="4" t="s">
        <v>58</v>
      </c>
      <c r="C16" s="4" t="s">
        <v>58</v>
      </c>
      <c r="D16" s="4" t="s">
        <v>58</v>
      </c>
      <c r="E16" s="4" t="s">
        <v>58</v>
      </c>
      <c r="F16" s="4" t="s">
        <v>58</v>
      </c>
      <c r="G16" s="4" t="s">
        <v>58</v>
      </c>
      <c r="H16" s="4" t="s">
        <v>58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40515</v>
      </c>
      <c r="F17" s="5">
        <v>38599</v>
      </c>
      <c r="G17" s="5">
        <v>33920</v>
      </c>
      <c r="H17" s="5">
        <v>31838</v>
      </c>
    </row>
    <row r="18" spans="1:8" x14ac:dyDescent="0.2">
      <c r="A18" s="3" t="s">
        <v>25</v>
      </c>
      <c r="B18" s="4" t="s">
        <v>58</v>
      </c>
      <c r="C18" s="5">
        <v>20798</v>
      </c>
      <c r="D18" s="5">
        <v>23435</v>
      </c>
      <c r="E18" s="5">
        <v>23473</v>
      </c>
      <c r="F18" s="5">
        <v>24568</v>
      </c>
      <c r="G18" s="5">
        <v>26361</v>
      </c>
      <c r="H18" s="5">
        <v>26218</v>
      </c>
    </row>
    <row r="19" spans="1:8" x14ac:dyDescent="0.2">
      <c r="A19" s="3" t="s">
        <v>26</v>
      </c>
      <c r="B19" s="4" t="s">
        <v>58</v>
      </c>
      <c r="C19" s="5">
        <v>262908</v>
      </c>
      <c r="D19" s="5">
        <v>291349</v>
      </c>
      <c r="E19" s="5">
        <v>306513</v>
      </c>
      <c r="F19" s="5">
        <v>311518</v>
      </c>
      <c r="G19" s="5">
        <v>315615</v>
      </c>
      <c r="H19" s="5">
        <v>323137</v>
      </c>
    </row>
    <row r="20" spans="1:8" x14ac:dyDescent="0.2">
      <c r="A20" s="3" t="s">
        <v>27</v>
      </c>
      <c r="B20" s="4" t="s">
        <v>58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</row>
    <row r="21" spans="1:8" x14ac:dyDescent="0.2">
      <c r="A21" s="3" t="s">
        <v>28</v>
      </c>
      <c r="B21" s="4" t="s">
        <v>58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4" t="s">
        <v>58</v>
      </c>
    </row>
    <row r="22" spans="1:8" x14ac:dyDescent="0.2">
      <c r="A22" s="3" t="s">
        <v>29</v>
      </c>
      <c r="B22" s="4" t="s">
        <v>58</v>
      </c>
      <c r="C22" s="5">
        <v>14403</v>
      </c>
      <c r="D22" s="5">
        <v>16328</v>
      </c>
      <c r="E22" s="5">
        <v>15247</v>
      </c>
      <c r="F22" s="5">
        <v>18471</v>
      </c>
      <c r="G22" s="5">
        <v>25297</v>
      </c>
      <c r="H22" s="5">
        <v>23223</v>
      </c>
    </row>
    <row r="23" spans="1:8" x14ac:dyDescent="0.2">
      <c r="A23" s="3" t="s">
        <v>30</v>
      </c>
      <c r="B23" s="4" t="s">
        <v>58</v>
      </c>
      <c r="C23" s="4" t="s">
        <v>58</v>
      </c>
      <c r="D23" s="4" t="s">
        <v>58</v>
      </c>
      <c r="E23" s="4" t="s">
        <v>58</v>
      </c>
      <c r="F23" s="4" t="s">
        <v>58</v>
      </c>
      <c r="G23" s="4" t="s">
        <v>58</v>
      </c>
      <c r="H23" s="4" t="s">
        <v>58</v>
      </c>
    </row>
    <row r="24" spans="1:8" x14ac:dyDescent="0.2">
      <c r="A24" s="3" t="s">
        <v>31</v>
      </c>
      <c r="B24" s="4" t="s">
        <v>58</v>
      </c>
      <c r="C24" s="5">
        <v>11836</v>
      </c>
      <c r="D24" s="4" t="s">
        <v>58</v>
      </c>
      <c r="E24" s="4" t="s">
        <v>58</v>
      </c>
      <c r="F24" s="4" t="s">
        <v>58</v>
      </c>
      <c r="G24" s="4" t="s">
        <v>58</v>
      </c>
      <c r="H24" s="4" t="s">
        <v>58</v>
      </c>
    </row>
    <row r="25" spans="1:8" x14ac:dyDescent="0.2">
      <c r="A25" s="3" t="s">
        <v>32</v>
      </c>
      <c r="B25" s="4" t="s">
        <v>58</v>
      </c>
      <c r="C25" s="4" t="s">
        <v>58</v>
      </c>
      <c r="D25" s="4" t="s">
        <v>58</v>
      </c>
      <c r="E25" s="5">
        <v>16334</v>
      </c>
      <c r="F25" s="4" t="s">
        <v>58</v>
      </c>
      <c r="G25" s="4" t="s">
        <v>58</v>
      </c>
      <c r="H25" s="5">
        <v>16364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4" t="s">
        <v>58</v>
      </c>
      <c r="F26" s="4" t="s">
        <v>58</v>
      </c>
      <c r="G26" s="4" t="s">
        <v>58</v>
      </c>
      <c r="H26" s="4" t="s">
        <v>58</v>
      </c>
    </row>
    <row r="27" spans="1:8" x14ac:dyDescent="0.2">
      <c r="A27" s="3" t="s">
        <v>34</v>
      </c>
      <c r="B27" s="4" t="s">
        <v>58</v>
      </c>
      <c r="C27" s="4" t="s">
        <v>58</v>
      </c>
      <c r="D27" s="4" t="s">
        <v>58</v>
      </c>
      <c r="E27" s="4" t="s">
        <v>58</v>
      </c>
      <c r="F27" s="4" t="s">
        <v>58</v>
      </c>
      <c r="G27" s="4" t="s">
        <v>58</v>
      </c>
      <c r="H27" s="4" t="s">
        <v>58</v>
      </c>
    </row>
    <row r="28" spans="1:8" x14ac:dyDescent="0.2">
      <c r="A28" s="3" t="s">
        <v>35</v>
      </c>
      <c r="B28" s="4" t="s">
        <v>58</v>
      </c>
      <c r="C28" s="5">
        <v>2519</v>
      </c>
      <c r="D28" s="5">
        <v>2417</v>
      </c>
      <c r="E28" s="5">
        <v>2287</v>
      </c>
      <c r="F28" s="5">
        <v>2318</v>
      </c>
      <c r="G28" s="5">
        <v>2230</v>
      </c>
      <c r="H28" s="5">
        <v>2102</v>
      </c>
    </row>
    <row r="29" spans="1:8" x14ac:dyDescent="0.2">
      <c r="A29" s="3" t="s">
        <v>36</v>
      </c>
      <c r="B29" s="4" t="s">
        <v>58</v>
      </c>
      <c r="C29" s="5">
        <v>10783</v>
      </c>
      <c r="D29" s="5">
        <v>10047</v>
      </c>
      <c r="E29" s="5">
        <v>9316</v>
      </c>
      <c r="F29" s="5">
        <v>8879</v>
      </c>
      <c r="G29" s="5">
        <v>8427</v>
      </c>
      <c r="H29" s="5">
        <v>8580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364</v>
      </c>
      <c r="E30" s="5">
        <v>346</v>
      </c>
      <c r="F30" s="5">
        <v>470</v>
      </c>
      <c r="G30" s="5">
        <v>435</v>
      </c>
      <c r="H30" s="5">
        <v>463</v>
      </c>
    </row>
    <row r="31" spans="1:8" x14ac:dyDescent="0.2">
      <c r="A31" s="3" t="s">
        <v>38</v>
      </c>
      <c r="B31" s="4" t="s">
        <v>58</v>
      </c>
      <c r="C31" s="4" t="s">
        <v>58</v>
      </c>
      <c r="D31" s="4" t="s">
        <v>58</v>
      </c>
      <c r="E31" s="4" t="s">
        <v>58</v>
      </c>
      <c r="F31" s="4" t="s">
        <v>58</v>
      </c>
      <c r="G31" s="4" t="s">
        <v>58</v>
      </c>
      <c r="H31" s="4" t="s">
        <v>58</v>
      </c>
    </row>
    <row r="32" spans="1:8" x14ac:dyDescent="0.2">
      <c r="A32" s="3" t="s">
        <v>39</v>
      </c>
      <c r="B32" s="4" t="s">
        <v>58</v>
      </c>
      <c r="C32" s="4" t="s">
        <v>58</v>
      </c>
      <c r="D32" s="4" t="s">
        <v>58</v>
      </c>
      <c r="E32" s="4" t="s">
        <v>58</v>
      </c>
      <c r="F32" s="4" t="s">
        <v>58</v>
      </c>
      <c r="G32" s="4" t="s">
        <v>58</v>
      </c>
      <c r="H32" s="4" t="s">
        <v>58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4" t="s">
        <v>58</v>
      </c>
      <c r="F33" s="4" t="s">
        <v>58</v>
      </c>
      <c r="G33" s="4" t="s">
        <v>58</v>
      </c>
      <c r="H33" s="4" t="s">
        <v>58</v>
      </c>
    </row>
    <row r="34" spans="1:8" x14ac:dyDescent="0.2">
      <c r="A34" s="3" t="s">
        <v>41</v>
      </c>
      <c r="B34" s="4" t="s">
        <v>58</v>
      </c>
      <c r="C34" s="4" t="s">
        <v>58</v>
      </c>
      <c r="D34" s="4" t="s">
        <v>58</v>
      </c>
      <c r="E34" s="4" t="s">
        <v>58</v>
      </c>
      <c r="F34" s="4" t="s">
        <v>58</v>
      </c>
      <c r="G34" s="4" t="s">
        <v>58</v>
      </c>
      <c r="H34" s="4" t="s">
        <v>58</v>
      </c>
    </row>
    <row r="35" spans="1:8" x14ac:dyDescent="0.2">
      <c r="A35" s="3" t="s">
        <v>42</v>
      </c>
      <c r="B35" s="4" t="s">
        <v>58</v>
      </c>
      <c r="C35" s="4" t="s">
        <v>58</v>
      </c>
      <c r="D35" s="4" t="s">
        <v>58</v>
      </c>
      <c r="E35" s="4" t="s">
        <v>58</v>
      </c>
      <c r="F35" s="4" t="s">
        <v>58</v>
      </c>
      <c r="G35" s="4" t="s">
        <v>58</v>
      </c>
      <c r="H35" s="4" t="s">
        <v>58</v>
      </c>
    </row>
    <row r="36" spans="1:8" x14ac:dyDescent="0.2">
      <c r="A36" s="3" t="s">
        <v>43</v>
      </c>
      <c r="B36" s="4" t="s">
        <v>58</v>
      </c>
      <c r="C36" s="4" t="s">
        <v>58</v>
      </c>
      <c r="D36" s="4" t="s">
        <v>58</v>
      </c>
      <c r="E36" s="4" t="s">
        <v>58</v>
      </c>
      <c r="F36" s="4" t="s">
        <v>58</v>
      </c>
      <c r="G36" s="4" t="s">
        <v>58</v>
      </c>
      <c r="H36" s="4" t="s">
        <v>58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4" t="s">
        <v>58</v>
      </c>
      <c r="F37" s="4" t="s">
        <v>58</v>
      </c>
      <c r="G37" s="4" t="s">
        <v>58</v>
      </c>
      <c r="H37" s="4" t="s">
        <v>58</v>
      </c>
    </row>
    <row r="38" spans="1:8" x14ac:dyDescent="0.2">
      <c r="A38" s="3" t="s">
        <v>45</v>
      </c>
      <c r="B38" s="4" t="s">
        <v>58</v>
      </c>
      <c r="C38" s="4" t="s">
        <v>58</v>
      </c>
      <c r="D38" s="4" t="s">
        <v>58</v>
      </c>
      <c r="E38" s="5">
        <v>0</v>
      </c>
      <c r="F38" s="5">
        <v>0</v>
      </c>
      <c r="G38" s="4" t="s">
        <v>58</v>
      </c>
      <c r="H38" s="4" t="s">
        <v>58</v>
      </c>
    </row>
    <row r="39" spans="1:8" x14ac:dyDescent="0.2">
      <c r="A39" s="3" t="s">
        <v>46</v>
      </c>
      <c r="B39" s="4" t="s">
        <v>58</v>
      </c>
      <c r="C39" s="4" t="s">
        <v>58</v>
      </c>
      <c r="D39" s="4" t="s">
        <v>58</v>
      </c>
      <c r="E39" s="4" t="s">
        <v>58</v>
      </c>
      <c r="F39" s="4" t="s">
        <v>58</v>
      </c>
      <c r="G39" s="4" t="s">
        <v>58</v>
      </c>
      <c r="H39" s="4" t="s">
        <v>58</v>
      </c>
    </row>
    <row r="40" spans="1:8" x14ac:dyDescent="0.2">
      <c r="A40" s="3" t="s">
        <v>47</v>
      </c>
      <c r="B40" s="4" t="s">
        <v>58</v>
      </c>
      <c r="C40" s="4" t="s">
        <v>58</v>
      </c>
      <c r="D40" s="4" t="s">
        <v>58</v>
      </c>
      <c r="E40" s="4" t="s">
        <v>58</v>
      </c>
      <c r="F40" s="4" t="s">
        <v>58</v>
      </c>
      <c r="G40" s="4" t="s">
        <v>58</v>
      </c>
      <c r="H40" s="4" t="s">
        <v>58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4" t="s">
        <v>58</v>
      </c>
      <c r="F41" s="4" t="s">
        <v>58</v>
      </c>
      <c r="G41" s="4" t="s">
        <v>58</v>
      </c>
      <c r="H41" s="4" t="s">
        <v>58</v>
      </c>
    </row>
    <row r="42" spans="1:8" x14ac:dyDescent="0.2">
      <c r="A42" s="3" t="s">
        <v>49</v>
      </c>
      <c r="B42" s="4" t="s">
        <v>58</v>
      </c>
      <c r="C42" s="5">
        <v>267629</v>
      </c>
      <c r="D42" s="5">
        <v>278421</v>
      </c>
      <c r="E42" s="5">
        <v>278177</v>
      </c>
      <c r="F42" s="5">
        <v>278551</v>
      </c>
      <c r="G42" s="5">
        <v>305102</v>
      </c>
      <c r="H42" s="5">
        <v>316760</v>
      </c>
    </row>
    <row r="43" spans="1:8" x14ac:dyDescent="0.2">
      <c r="A43" s="3" t="s">
        <v>50</v>
      </c>
      <c r="B43" s="4" t="s">
        <v>58</v>
      </c>
      <c r="C43" s="4" t="s">
        <v>58</v>
      </c>
      <c r="D43" s="4" t="s">
        <v>58</v>
      </c>
      <c r="E43" s="4" t="s">
        <v>58</v>
      </c>
      <c r="F43" s="4" t="s">
        <v>58</v>
      </c>
      <c r="G43" s="4" t="s">
        <v>58</v>
      </c>
      <c r="H43" s="4" t="s">
        <v>58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5">
        <v>237</v>
      </c>
      <c r="F44" s="5">
        <v>111</v>
      </c>
      <c r="G44" s="4" t="s">
        <v>58</v>
      </c>
      <c r="H44" s="5">
        <v>162</v>
      </c>
    </row>
    <row r="45" spans="1:8" x14ac:dyDescent="0.2">
      <c r="A45" s="3" t="s">
        <v>52</v>
      </c>
      <c r="B45" s="4" t="s">
        <v>58</v>
      </c>
      <c r="C45" s="4" t="s">
        <v>58</v>
      </c>
      <c r="D45" s="5">
        <v>20408</v>
      </c>
      <c r="E45" s="5">
        <v>20103</v>
      </c>
      <c r="F45" s="5">
        <v>21475</v>
      </c>
      <c r="G45" s="5">
        <v>20511</v>
      </c>
      <c r="H45" s="5">
        <v>24146</v>
      </c>
    </row>
    <row r="46" spans="1:8" x14ac:dyDescent="0.2">
      <c r="A46" s="3" t="s">
        <v>53</v>
      </c>
      <c r="B46" s="4" t="s">
        <v>58</v>
      </c>
      <c r="C46" s="5">
        <v>19795</v>
      </c>
      <c r="D46" s="5">
        <v>21342</v>
      </c>
      <c r="E46" s="5">
        <v>21457</v>
      </c>
      <c r="F46" s="5">
        <v>22072</v>
      </c>
      <c r="G46" s="5">
        <v>22555</v>
      </c>
      <c r="H46" s="5">
        <v>23163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5">
        <v>2308</v>
      </c>
      <c r="E48" s="5">
        <v>3569</v>
      </c>
      <c r="F48" s="5">
        <v>2773</v>
      </c>
      <c r="G48" s="5">
        <v>2773</v>
      </c>
      <c r="H48" s="5">
        <v>2630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5">
        <v>15313</v>
      </c>
      <c r="G49" s="5">
        <v>18367</v>
      </c>
      <c r="H49" s="5">
        <v>18164</v>
      </c>
    </row>
    <row r="50" spans="1:8" x14ac:dyDescent="0.2">
      <c r="A50" s="3" t="s">
        <v>57</v>
      </c>
      <c r="B50" s="4" t="s">
        <v>58</v>
      </c>
      <c r="C50" s="4" t="s">
        <v>58</v>
      </c>
      <c r="D50" s="4" t="s">
        <v>58</v>
      </c>
      <c r="E50" s="4" t="s">
        <v>58</v>
      </c>
      <c r="F50" s="4" t="s">
        <v>58</v>
      </c>
      <c r="G50" s="4" t="s">
        <v>58</v>
      </c>
      <c r="H50" s="4" t="s">
        <v>58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44002.107866018516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74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4" t="s">
        <v>58</v>
      </c>
      <c r="E13" s="4" t="s">
        <v>58</v>
      </c>
      <c r="F13" s="4" t="s">
        <v>58</v>
      </c>
      <c r="G13" s="4" t="s">
        <v>58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4" t="s">
        <v>58</v>
      </c>
      <c r="E14" s="4" t="s">
        <v>58</v>
      </c>
      <c r="F14" s="4" t="s">
        <v>58</v>
      </c>
      <c r="G14" s="4" t="s">
        <v>58</v>
      </c>
      <c r="H14" s="4" t="s">
        <v>58</v>
      </c>
    </row>
    <row r="15" spans="1:8" x14ac:dyDescent="0.2">
      <c r="A15" s="3" t="s">
        <v>22</v>
      </c>
      <c r="B15" s="4" t="s">
        <v>58</v>
      </c>
      <c r="C15" s="4" t="s">
        <v>58</v>
      </c>
      <c r="D15" s="4" t="s">
        <v>58</v>
      </c>
      <c r="E15" s="4" t="s">
        <v>58</v>
      </c>
      <c r="F15" s="4" t="s">
        <v>58</v>
      </c>
      <c r="G15" s="5">
        <v>0</v>
      </c>
      <c r="H15" s="5">
        <v>0</v>
      </c>
    </row>
    <row r="16" spans="1:8" x14ac:dyDescent="0.2">
      <c r="A16" s="3" t="s">
        <v>23</v>
      </c>
      <c r="B16" s="4" t="s">
        <v>58</v>
      </c>
      <c r="C16" s="4" t="s">
        <v>58</v>
      </c>
      <c r="D16" s="4" t="s">
        <v>58</v>
      </c>
      <c r="E16" s="4" t="s">
        <v>58</v>
      </c>
      <c r="F16" s="4" t="s">
        <v>58</v>
      </c>
      <c r="G16" s="4" t="s">
        <v>58</v>
      </c>
      <c r="H16" s="4" t="s">
        <v>58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4" t="s">
        <v>58</v>
      </c>
      <c r="F17" s="4" t="s">
        <v>58</v>
      </c>
      <c r="G17" s="4" t="s">
        <v>58</v>
      </c>
      <c r="H17" s="4" t="s">
        <v>58</v>
      </c>
    </row>
    <row r="18" spans="1:8" x14ac:dyDescent="0.2">
      <c r="A18" s="3" t="s">
        <v>25</v>
      </c>
      <c r="B18" s="4" t="s">
        <v>58</v>
      </c>
      <c r="C18" s="5">
        <v>2264</v>
      </c>
      <c r="D18" s="5">
        <v>2410</v>
      </c>
      <c r="E18" s="5">
        <v>2086</v>
      </c>
      <c r="F18" s="5">
        <v>2264</v>
      </c>
      <c r="G18" s="5">
        <v>2061</v>
      </c>
      <c r="H18" s="5">
        <v>2122</v>
      </c>
    </row>
    <row r="19" spans="1:8" x14ac:dyDescent="0.2">
      <c r="A19" s="3" t="s">
        <v>26</v>
      </c>
      <c r="B19" s="4" t="s">
        <v>58</v>
      </c>
      <c r="C19" s="4" t="s">
        <v>58</v>
      </c>
      <c r="D19" s="4" t="s">
        <v>58</v>
      </c>
      <c r="E19" s="4" t="s">
        <v>58</v>
      </c>
      <c r="F19" s="4" t="s">
        <v>58</v>
      </c>
      <c r="G19" s="4" t="s">
        <v>58</v>
      </c>
      <c r="H19" s="4" t="s">
        <v>58</v>
      </c>
    </row>
    <row r="20" spans="1:8" x14ac:dyDescent="0.2">
      <c r="A20" s="3" t="s">
        <v>27</v>
      </c>
      <c r="B20" s="4" t="s">
        <v>58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</row>
    <row r="21" spans="1:8" x14ac:dyDescent="0.2">
      <c r="A21" s="3" t="s">
        <v>28</v>
      </c>
      <c r="B21" s="4" t="s">
        <v>58</v>
      </c>
      <c r="C21" s="4" t="s">
        <v>58</v>
      </c>
      <c r="D21" s="4" t="s">
        <v>58</v>
      </c>
      <c r="E21" s="4" t="s">
        <v>58</v>
      </c>
      <c r="F21" s="4" t="s">
        <v>58</v>
      </c>
      <c r="G21" s="4" t="s">
        <v>58</v>
      </c>
      <c r="H21" s="4" t="s">
        <v>58</v>
      </c>
    </row>
    <row r="22" spans="1:8" x14ac:dyDescent="0.2">
      <c r="A22" s="3" t="s">
        <v>29</v>
      </c>
      <c r="B22" s="4" t="s">
        <v>58</v>
      </c>
      <c r="C22" s="5">
        <v>770</v>
      </c>
      <c r="D22" s="5">
        <v>1165</v>
      </c>
      <c r="E22" s="5">
        <v>1383</v>
      </c>
      <c r="F22" s="5">
        <v>2521</v>
      </c>
      <c r="G22" s="5">
        <v>3078</v>
      </c>
      <c r="H22" s="5">
        <v>2821</v>
      </c>
    </row>
    <row r="23" spans="1:8" x14ac:dyDescent="0.2">
      <c r="A23" s="3" t="s">
        <v>30</v>
      </c>
      <c r="B23" s="4" t="s">
        <v>58</v>
      </c>
      <c r="C23" s="4" t="s">
        <v>58</v>
      </c>
      <c r="D23" s="4" t="s">
        <v>58</v>
      </c>
      <c r="E23" s="4" t="s">
        <v>58</v>
      </c>
      <c r="F23" s="4" t="s">
        <v>58</v>
      </c>
      <c r="G23" s="4" t="s">
        <v>58</v>
      </c>
      <c r="H23" s="4" t="s">
        <v>58</v>
      </c>
    </row>
    <row r="24" spans="1:8" x14ac:dyDescent="0.2">
      <c r="A24" s="3" t="s">
        <v>31</v>
      </c>
      <c r="B24" s="4" t="s">
        <v>58</v>
      </c>
      <c r="C24" s="5">
        <v>59237</v>
      </c>
      <c r="D24" s="4" t="s">
        <v>58</v>
      </c>
      <c r="E24" s="4" t="s">
        <v>58</v>
      </c>
      <c r="F24" s="4" t="s">
        <v>58</v>
      </c>
      <c r="G24" s="4" t="s">
        <v>58</v>
      </c>
      <c r="H24" s="4" t="s">
        <v>58</v>
      </c>
    </row>
    <row r="25" spans="1:8" x14ac:dyDescent="0.2">
      <c r="A25" s="3" t="s">
        <v>32</v>
      </c>
      <c r="B25" s="4" t="s">
        <v>58</v>
      </c>
      <c r="C25" s="4" t="s">
        <v>58</v>
      </c>
      <c r="D25" s="4" t="s">
        <v>58</v>
      </c>
      <c r="E25" s="4" t="s">
        <v>58</v>
      </c>
      <c r="F25" s="4" t="s">
        <v>58</v>
      </c>
      <c r="G25" s="4" t="s">
        <v>58</v>
      </c>
      <c r="H25" s="5">
        <v>2904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4" t="s">
        <v>58</v>
      </c>
      <c r="F26" s="4" t="s">
        <v>58</v>
      </c>
      <c r="G26" s="4" t="s">
        <v>58</v>
      </c>
      <c r="H26" s="4" t="s">
        <v>58</v>
      </c>
    </row>
    <row r="27" spans="1:8" x14ac:dyDescent="0.2">
      <c r="A27" s="3" t="s">
        <v>34</v>
      </c>
      <c r="B27" s="4" t="s">
        <v>58</v>
      </c>
      <c r="C27" s="4" t="s">
        <v>58</v>
      </c>
      <c r="D27" s="4" t="s">
        <v>58</v>
      </c>
      <c r="E27" s="4" t="s">
        <v>58</v>
      </c>
      <c r="F27" s="4" t="s">
        <v>58</v>
      </c>
      <c r="G27" s="4" t="s">
        <v>58</v>
      </c>
      <c r="H27" s="4" t="s">
        <v>58</v>
      </c>
    </row>
    <row r="28" spans="1:8" x14ac:dyDescent="0.2">
      <c r="A28" s="3" t="s">
        <v>35</v>
      </c>
      <c r="B28" s="4" t="s">
        <v>58</v>
      </c>
      <c r="C28" s="5">
        <v>2770</v>
      </c>
      <c r="D28" s="5">
        <v>3296</v>
      </c>
      <c r="E28" s="5">
        <v>4230</v>
      </c>
      <c r="F28" s="5">
        <v>4390</v>
      </c>
      <c r="G28" s="5">
        <v>4649</v>
      </c>
      <c r="H28" s="5">
        <v>4640</v>
      </c>
    </row>
    <row r="29" spans="1:8" x14ac:dyDescent="0.2">
      <c r="A29" s="3" t="s">
        <v>36</v>
      </c>
      <c r="B29" s="4" t="s">
        <v>58</v>
      </c>
      <c r="C29" s="4" t="s">
        <v>58</v>
      </c>
      <c r="D29" s="4" t="s">
        <v>58</v>
      </c>
      <c r="E29" s="4" t="s">
        <v>58</v>
      </c>
      <c r="F29" s="4" t="s">
        <v>58</v>
      </c>
      <c r="G29" s="4" t="s">
        <v>58</v>
      </c>
      <c r="H29" s="4" t="s">
        <v>58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487</v>
      </c>
      <c r="E30" s="5">
        <v>415</v>
      </c>
      <c r="F30" s="5">
        <v>750</v>
      </c>
      <c r="G30" s="5">
        <v>797</v>
      </c>
      <c r="H30" s="5">
        <v>688</v>
      </c>
    </row>
    <row r="31" spans="1:8" x14ac:dyDescent="0.2">
      <c r="A31" s="3" t="s">
        <v>38</v>
      </c>
      <c r="B31" s="4" t="s">
        <v>58</v>
      </c>
      <c r="C31" s="4" t="s">
        <v>58</v>
      </c>
      <c r="D31" s="4" t="s">
        <v>58</v>
      </c>
      <c r="E31" s="4" t="s">
        <v>58</v>
      </c>
      <c r="F31" s="4" t="s">
        <v>58</v>
      </c>
      <c r="G31" s="4" t="s">
        <v>58</v>
      </c>
      <c r="H31" s="4" t="s">
        <v>58</v>
      </c>
    </row>
    <row r="32" spans="1:8" x14ac:dyDescent="0.2">
      <c r="A32" s="3" t="s">
        <v>39</v>
      </c>
      <c r="B32" s="4" t="s">
        <v>58</v>
      </c>
      <c r="C32" s="4" t="s">
        <v>58</v>
      </c>
      <c r="D32" s="4" t="s">
        <v>58</v>
      </c>
      <c r="E32" s="4" t="s">
        <v>58</v>
      </c>
      <c r="F32" s="4" t="s">
        <v>58</v>
      </c>
      <c r="G32" s="4" t="s">
        <v>58</v>
      </c>
      <c r="H32" s="4" t="s">
        <v>58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4" t="s">
        <v>58</v>
      </c>
      <c r="F33" s="4" t="s">
        <v>58</v>
      </c>
      <c r="G33" s="4" t="s">
        <v>58</v>
      </c>
      <c r="H33" s="4" t="s">
        <v>58</v>
      </c>
    </row>
    <row r="34" spans="1:8" x14ac:dyDescent="0.2">
      <c r="A34" s="3" t="s">
        <v>41</v>
      </c>
      <c r="B34" s="4" t="s">
        <v>58</v>
      </c>
      <c r="C34" s="4" t="s">
        <v>58</v>
      </c>
      <c r="D34" s="4" t="s">
        <v>58</v>
      </c>
      <c r="E34" s="4" t="s">
        <v>58</v>
      </c>
      <c r="F34" s="4" t="s">
        <v>58</v>
      </c>
      <c r="G34" s="4" t="s">
        <v>58</v>
      </c>
      <c r="H34" s="4" t="s">
        <v>58</v>
      </c>
    </row>
    <row r="35" spans="1:8" x14ac:dyDescent="0.2">
      <c r="A35" s="3" t="s">
        <v>42</v>
      </c>
      <c r="B35" s="4" t="s">
        <v>58</v>
      </c>
      <c r="C35" s="4" t="s">
        <v>58</v>
      </c>
      <c r="D35" s="4" t="s">
        <v>58</v>
      </c>
      <c r="E35" s="4" t="s">
        <v>58</v>
      </c>
      <c r="F35" s="4" t="s">
        <v>58</v>
      </c>
      <c r="G35" s="4" t="s">
        <v>58</v>
      </c>
      <c r="H35" s="4" t="s">
        <v>58</v>
      </c>
    </row>
    <row r="36" spans="1:8" x14ac:dyDescent="0.2">
      <c r="A36" s="3" t="s">
        <v>43</v>
      </c>
      <c r="B36" s="4" t="s">
        <v>58</v>
      </c>
      <c r="C36" s="4" t="s">
        <v>58</v>
      </c>
      <c r="D36" s="4" t="s">
        <v>58</v>
      </c>
      <c r="E36" s="4" t="s">
        <v>58</v>
      </c>
      <c r="F36" s="4" t="s">
        <v>58</v>
      </c>
      <c r="G36" s="4" t="s">
        <v>58</v>
      </c>
      <c r="H36" s="4" t="s">
        <v>58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4" t="s">
        <v>58</v>
      </c>
      <c r="F37" s="4" t="s">
        <v>58</v>
      </c>
      <c r="G37" s="4" t="s">
        <v>58</v>
      </c>
      <c r="H37" s="4" t="s">
        <v>58</v>
      </c>
    </row>
    <row r="38" spans="1:8" x14ac:dyDescent="0.2">
      <c r="A38" s="3" t="s">
        <v>45</v>
      </c>
      <c r="B38" s="4" t="s">
        <v>58</v>
      </c>
      <c r="C38" s="4" t="s">
        <v>58</v>
      </c>
      <c r="D38" s="4" t="s">
        <v>58</v>
      </c>
      <c r="E38" s="5">
        <v>0</v>
      </c>
      <c r="F38" s="5">
        <v>0</v>
      </c>
      <c r="G38" s="4" t="s">
        <v>58</v>
      </c>
      <c r="H38" s="4" t="s">
        <v>58</v>
      </c>
    </row>
    <row r="39" spans="1:8" x14ac:dyDescent="0.2">
      <c r="A39" s="3" t="s">
        <v>46</v>
      </c>
      <c r="B39" s="4" t="s">
        <v>58</v>
      </c>
      <c r="C39" s="4" t="s">
        <v>58</v>
      </c>
      <c r="D39" s="4" t="s">
        <v>58</v>
      </c>
      <c r="E39" s="4" t="s">
        <v>58</v>
      </c>
      <c r="F39" s="4" t="s">
        <v>58</v>
      </c>
      <c r="G39" s="4" t="s">
        <v>58</v>
      </c>
      <c r="H39" s="4" t="s">
        <v>58</v>
      </c>
    </row>
    <row r="40" spans="1:8" x14ac:dyDescent="0.2">
      <c r="A40" s="3" t="s">
        <v>47</v>
      </c>
      <c r="B40" s="4" t="s">
        <v>58</v>
      </c>
      <c r="C40" s="4" t="s">
        <v>58</v>
      </c>
      <c r="D40" s="4" t="s">
        <v>58</v>
      </c>
      <c r="E40" s="4" t="s">
        <v>58</v>
      </c>
      <c r="F40" s="4" t="s">
        <v>58</v>
      </c>
      <c r="G40" s="4" t="s">
        <v>58</v>
      </c>
      <c r="H40" s="4" t="s">
        <v>58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4" t="s">
        <v>58</v>
      </c>
      <c r="F41" s="4" t="s">
        <v>58</v>
      </c>
      <c r="G41" s="4" t="s">
        <v>58</v>
      </c>
      <c r="H41" s="4" t="s">
        <v>58</v>
      </c>
    </row>
    <row r="42" spans="1:8" x14ac:dyDescent="0.2">
      <c r="A42" s="3" t="s">
        <v>49</v>
      </c>
      <c r="B42" s="4" t="s">
        <v>58</v>
      </c>
      <c r="C42" s="4" t="s">
        <v>58</v>
      </c>
      <c r="D42" s="4" t="s">
        <v>58</v>
      </c>
      <c r="E42" s="4" t="s">
        <v>58</v>
      </c>
      <c r="F42" s="4" t="s">
        <v>58</v>
      </c>
      <c r="G42" s="4" t="s">
        <v>58</v>
      </c>
      <c r="H42" s="4" t="s">
        <v>58</v>
      </c>
    </row>
    <row r="43" spans="1:8" x14ac:dyDescent="0.2">
      <c r="A43" s="3" t="s">
        <v>50</v>
      </c>
      <c r="B43" s="4" t="s">
        <v>58</v>
      </c>
      <c r="C43" s="4" t="s">
        <v>58</v>
      </c>
      <c r="D43" s="4" t="s">
        <v>58</v>
      </c>
      <c r="E43" s="4" t="s">
        <v>58</v>
      </c>
      <c r="F43" s="4" t="s">
        <v>58</v>
      </c>
      <c r="G43" s="4" t="s">
        <v>58</v>
      </c>
      <c r="H43" s="4" t="s">
        <v>58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5">
        <v>0</v>
      </c>
      <c r="F44" s="5">
        <v>0</v>
      </c>
      <c r="G44" s="4" t="s">
        <v>58</v>
      </c>
      <c r="H44" s="5">
        <v>0</v>
      </c>
    </row>
    <row r="45" spans="1:8" x14ac:dyDescent="0.2">
      <c r="A45" s="3" t="s">
        <v>52</v>
      </c>
      <c r="B45" s="4" t="s">
        <v>58</v>
      </c>
      <c r="C45" s="4" t="s">
        <v>58</v>
      </c>
      <c r="D45" s="4" t="s">
        <v>58</v>
      </c>
      <c r="E45" s="4" t="s">
        <v>58</v>
      </c>
      <c r="F45" s="4" t="s">
        <v>58</v>
      </c>
      <c r="G45" s="4" t="s">
        <v>58</v>
      </c>
      <c r="H45" s="4" t="s">
        <v>58</v>
      </c>
    </row>
    <row r="46" spans="1:8" x14ac:dyDescent="0.2">
      <c r="A46" s="3" t="s">
        <v>53</v>
      </c>
      <c r="B46" s="4" t="s">
        <v>58</v>
      </c>
      <c r="C46" s="5">
        <v>2143</v>
      </c>
      <c r="D46" s="5">
        <v>1879</v>
      </c>
      <c r="E46" s="5">
        <v>1837</v>
      </c>
      <c r="F46" s="5">
        <v>1883</v>
      </c>
      <c r="G46" s="5">
        <v>2002</v>
      </c>
      <c r="H46" s="5">
        <v>2102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5">
        <v>373</v>
      </c>
      <c r="E48" s="5">
        <v>322</v>
      </c>
      <c r="F48" s="5">
        <v>186</v>
      </c>
      <c r="G48" s="5">
        <v>186</v>
      </c>
      <c r="H48" s="5">
        <v>137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4" t="s">
        <v>58</v>
      </c>
      <c r="G49" s="4" t="s">
        <v>58</v>
      </c>
      <c r="H49" s="4" t="s">
        <v>58</v>
      </c>
    </row>
    <row r="50" spans="1:8" x14ac:dyDescent="0.2">
      <c r="A50" s="3" t="s">
        <v>57</v>
      </c>
      <c r="B50" s="4" t="s">
        <v>58</v>
      </c>
      <c r="C50" s="4" t="s">
        <v>58</v>
      </c>
      <c r="D50" s="4" t="s">
        <v>58</v>
      </c>
      <c r="E50" s="4" t="s">
        <v>58</v>
      </c>
      <c r="F50" s="4" t="s">
        <v>58</v>
      </c>
      <c r="G50" s="4" t="s">
        <v>58</v>
      </c>
      <c r="H50" s="4" t="s">
        <v>58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3"/>
  <sheetViews>
    <sheetView zoomScaleNormal="100" workbookViewId="0"/>
  </sheetViews>
  <sheetFormatPr defaultRowHeight="14.25" x14ac:dyDescent="0.2"/>
  <sheetData>
    <row r="1" spans="1:8" x14ac:dyDescent="0.2">
      <c r="A1" s="1" t="s">
        <v>0</v>
      </c>
    </row>
    <row r="3" spans="1:8" x14ac:dyDescent="0.2">
      <c r="A3" s="1" t="s">
        <v>1</v>
      </c>
      <c r="B3" s="2">
        <v>43990.837187500001</v>
      </c>
    </row>
    <row r="4" spans="1:8" x14ac:dyDescent="0.2">
      <c r="A4" s="1" t="s">
        <v>2</v>
      </c>
      <c r="B4" s="2">
        <v>44002.107866018516</v>
      </c>
    </row>
    <row r="5" spans="1:8" x14ac:dyDescent="0.2">
      <c r="A5" s="1" t="s">
        <v>3</v>
      </c>
      <c r="B5" s="1" t="s">
        <v>4</v>
      </c>
    </row>
    <row r="7" spans="1:8" x14ac:dyDescent="0.2">
      <c r="A7" s="1" t="s">
        <v>5</v>
      </c>
      <c r="B7" s="1" t="s">
        <v>6</v>
      </c>
    </row>
    <row r="8" spans="1:8" x14ac:dyDescent="0.2">
      <c r="A8" s="1" t="s">
        <v>7</v>
      </c>
      <c r="B8" s="1" t="s">
        <v>8</v>
      </c>
    </row>
    <row r="9" spans="1:8" x14ac:dyDescent="0.2">
      <c r="A9" s="1" t="s">
        <v>9</v>
      </c>
      <c r="B9" s="1" t="s">
        <v>8</v>
      </c>
    </row>
    <row r="10" spans="1:8" x14ac:dyDescent="0.2">
      <c r="A10" s="1" t="s">
        <v>10</v>
      </c>
      <c r="B10" s="1" t="s">
        <v>75</v>
      </c>
    </row>
    <row r="12" spans="1:8" x14ac:dyDescent="0.2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</row>
    <row r="13" spans="1:8" x14ac:dyDescent="0.2">
      <c r="A13" s="3" t="s">
        <v>20</v>
      </c>
      <c r="B13" s="4" t="s">
        <v>58</v>
      </c>
      <c r="C13" s="4" t="s">
        <v>58</v>
      </c>
      <c r="D13" s="5">
        <v>163346</v>
      </c>
      <c r="E13" s="5">
        <v>152183</v>
      </c>
      <c r="F13" s="5">
        <v>153782</v>
      </c>
      <c r="G13" s="5">
        <v>144800</v>
      </c>
      <c r="H13" s="4" t="s">
        <v>58</v>
      </c>
    </row>
    <row r="14" spans="1:8" x14ac:dyDescent="0.2">
      <c r="A14" s="3" t="s">
        <v>21</v>
      </c>
      <c r="B14" s="4" t="s">
        <v>58</v>
      </c>
      <c r="C14" s="4" t="s">
        <v>58</v>
      </c>
      <c r="D14" s="5">
        <v>199513</v>
      </c>
      <c r="E14" s="5">
        <v>187986</v>
      </c>
      <c r="F14" s="5">
        <v>189173</v>
      </c>
      <c r="G14" s="5">
        <v>179556</v>
      </c>
      <c r="H14" s="4" t="s">
        <v>58</v>
      </c>
    </row>
    <row r="15" spans="1:8" x14ac:dyDescent="0.2">
      <c r="A15" s="3" t="s">
        <v>22</v>
      </c>
      <c r="B15" s="4" t="s">
        <v>58</v>
      </c>
      <c r="C15" s="5">
        <v>1426</v>
      </c>
      <c r="D15" s="4" t="s">
        <v>58</v>
      </c>
      <c r="E15" s="4" t="s">
        <v>58</v>
      </c>
      <c r="F15" s="4" t="s">
        <v>58</v>
      </c>
      <c r="G15" s="5">
        <v>1372</v>
      </c>
      <c r="H15" s="5">
        <v>1396</v>
      </c>
    </row>
    <row r="16" spans="1:8" x14ac:dyDescent="0.2">
      <c r="A16" s="3" t="s">
        <v>23</v>
      </c>
      <c r="B16" s="4" t="s">
        <v>58</v>
      </c>
      <c r="C16" s="5">
        <v>1948</v>
      </c>
      <c r="D16" s="5">
        <v>2277</v>
      </c>
      <c r="E16" s="5">
        <v>2284</v>
      </c>
      <c r="F16" s="5">
        <v>2075</v>
      </c>
      <c r="G16" s="5">
        <v>2085</v>
      </c>
      <c r="H16" s="5">
        <v>1958</v>
      </c>
    </row>
    <row r="17" spans="1:8" x14ac:dyDescent="0.2">
      <c r="A17" s="3" t="s">
        <v>24</v>
      </c>
      <c r="B17" s="4" t="s">
        <v>58</v>
      </c>
      <c r="C17" s="4" t="s">
        <v>58</v>
      </c>
      <c r="D17" s="4" t="s">
        <v>58</v>
      </c>
      <c r="E17" s="5">
        <v>4781</v>
      </c>
      <c r="F17" s="5">
        <v>4705</v>
      </c>
      <c r="G17" s="5">
        <v>4501</v>
      </c>
      <c r="H17" s="5">
        <v>4171</v>
      </c>
    </row>
    <row r="18" spans="1:8" x14ac:dyDescent="0.2">
      <c r="A18" s="3" t="s">
        <v>25</v>
      </c>
      <c r="B18" s="4" t="s">
        <v>58</v>
      </c>
      <c r="C18" s="5">
        <v>2465</v>
      </c>
      <c r="D18" s="5">
        <v>2477</v>
      </c>
      <c r="E18" s="5">
        <v>2209</v>
      </c>
      <c r="F18" s="5">
        <v>2356</v>
      </c>
      <c r="G18" s="5">
        <v>2256</v>
      </c>
      <c r="H18" s="5">
        <v>2328</v>
      </c>
    </row>
    <row r="19" spans="1:8" x14ac:dyDescent="0.2">
      <c r="A19" s="3" t="s">
        <v>26</v>
      </c>
      <c r="B19" s="5">
        <v>53800</v>
      </c>
      <c r="C19" s="5">
        <v>55100</v>
      </c>
      <c r="D19" s="5">
        <v>55400</v>
      </c>
      <c r="E19" s="5">
        <v>40100</v>
      </c>
      <c r="F19" s="5">
        <v>40300</v>
      </c>
      <c r="G19" s="5">
        <v>40500</v>
      </c>
      <c r="H19" s="5">
        <v>40900</v>
      </c>
    </row>
    <row r="20" spans="1:8" x14ac:dyDescent="0.2">
      <c r="A20" s="3" t="s">
        <v>27</v>
      </c>
      <c r="B20" s="4" t="s">
        <v>58</v>
      </c>
      <c r="C20" s="5">
        <v>392</v>
      </c>
      <c r="D20" s="5">
        <v>387</v>
      </c>
      <c r="E20" s="5">
        <v>361</v>
      </c>
      <c r="F20" s="5">
        <v>370</v>
      </c>
      <c r="G20" s="5">
        <v>351</v>
      </c>
      <c r="H20" s="5">
        <v>343</v>
      </c>
    </row>
    <row r="21" spans="1:8" x14ac:dyDescent="0.2">
      <c r="A21" s="3" t="s">
        <v>28</v>
      </c>
      <c r="B21" s="4" t="s">
        <v>58</v>
      </c>
      <c r="C21" s="4" t="s">
        <v>58</v>
      </c>
      <c r="D21" s="5">
        <v>1818</v>
      </c>
      <c r="E21" s="5">
        <v>1914</v>
      </c>
      <c r="F21" s="5">
        <v>2010</v>
      </c>
      <c r="G21" s="5">
        <v>1974</v>
      </c>
      <c r="H21" s="5">
        <v>1976</v>
      </c>
    </row>
    <row r="22" spans="1:8" x14ac:dyDescent="0.2">
      <c r="A22" s="3" t="s">
        <v>29</v>
      </c>
      <c r="B22" s="4" t="s">
        <v>58</v>
      </c>
      <c r="C22" s="5">
        <v>3142</v>
      </c>
      <c r="D22" s="5">
        <v>2688</v>
      </c>
      <c r="E22" s="5">
        <v>2836</v>
      </c>
      <c r="F22" s="5">
        <v>3303</v>
      </c>
      <c r="G22" s="5">
        <v>3639</v>
      </c>
      <c r="H22" s="5">
        <v>3055</v>
      </c>
    </row>
    <row r="23" spans="1:8" x14ac:dyDescent="0.2">
      <c r="A23" s="3" t="s">
        <v>30</v>
      </c>
      <c r="B23" s="4" t="s">
        <v>58</v>
      </c>
      <c r="C23" s="4" t="s">
        <v>58</v>
      </c>
      <c r="D23" s="5">
        <v>12301</v>
      </c>
      <c r="E23" s="5">
        <v>20411</v>
      </c>
      <c r="F23" s="5">
        <v>23552</v>
      </c>
      <c r="G23" s="5">
        <v>21843</v>
      </c>
      <c r="H23" s="5">
        <v>21385</v>
      </c>
    </row>
    <row r="24" spans="1:8" x14ac:dyDescent="0.2">
      <c r="A24" s="3" t="s">
        <v>31</v>
      </c>
      <c r="B24" s="4" t="s">
        <v>58</v>
      </c>
      <c r="C24" s="5">
        <v>20385</v>
      </c>
      <c r="D24" s="5">
        <v>20118</v>
      </c>
      <c r="E24" s="5">
        <v>19240</v>
      </c>
      <c r="F24" s="5">
        <v>17636</v>
      </c>
      <c r="G24" s="5">
        <v>19456</v>
      </c>
      <c r="H24" s="5">
        <v>17894</v>
      </c>
    </row>
    <row r="25" spans="1:8" x14ac:dyDescent="0.2">
      <c r="A25" s="3" t="s">
        <v>32</v>
      </c>
      <c r="B25" s="4" t="s">
        <v>58</v>
      </c>
      <c r="C25" s="4" t="s">
        <v>58</v>
      </c>
      <c r="D25" s="5">
        <v>3219</v>
      </c>
      <c r="E25" s="5">
        <v>3130</v>
      </c>
      <c r="F25" s="5">
        <v>3157</v>
      </c>
      <c r="G25" s="5">
        <v>3311</v>
      </c>
      <c r="H25" s="5">
        <v>3584</v>
      </c>
    </row>
    <row r="26" spans="1:8" x14ac:dyDescent="0.2">
      <c r="A26" s="3" t="s">
        <v>33</v>
      </c>
      <c r="B26" s="4" t="s">
        <v>58</v>
      </c>
      <c r="C26" s="4" t="s">
        <v>58</v>
      </c>
      <c r="D26" s="4" t="s">
        <v>58</v>
      </c>
      <c r="E26" s="5">
        <v>9524</v>
      </c>
      <c r="F26" s="5">
        <v>8936</v>
      </c>
      <c r="G26" s="5">
        <v>9468</v>
      </c>
      <c r="H26" s="5">
        <v>10321</v>
      </c>
    </row>
    <row r="27" spans="1:8" x14ac:dyDescent="0.2">
      <c r="A27" s="3" t="s">
        <v>34</v>
      </c>
      <c r="B27" s="4" t="s">
        <v>58</v>
      </c>
      <c r="C27" s="5">
        <v>659</v>
      </c>
      <c r="D27" s="5">
        <v>186</v>
      </c>
      <c r="E27" s="5">
        <v>260</v>
      </c>
      <c r="F27" s="5">
        <v>275</v>
      </c>
      <c r="G27" s="5">
        <v>232</v>
      </c>
      <c r="H27" s="5">
        <v>230</v>
      </c>
    </row>
    <row r="28" spans="1:8" x14ac:dyDescent="0.2">
      <c r="A28" s="3" t="s">
        <v>35</v>
      </c>
      <c r="B28" s="4" t="s">
        <v>58</v>
      </c>
      <c r="C28" s="5">
        <v>645</v>
      </c>
      <c r="D28" s="5">
        <v>547</v>
      </c>
      <c r="E28" s="5">
        <v>532</v>
      </c>
      <c r="F28" s="5">
        <v>636</v>
      </c>
      <c r="G28" s="5">
        <v>564</v>
      </c>
      <c r="H28" s="5">
        <v>524</v>
      </c>
    </row>
    <row r="29" spans="1:8" x14ac:dyDescent="0.2">
      <c r="A29" s="3" t="s">
        <v>36</v>
      </c>
      <c r="B29" s="4" t="s">
        <v>58</v>
      </c>
      <c r="C29" s="5">
        <v>617</v>
      </c>
      <c r="D29" s="5">
        <v>592</v>
      </c>
      <c r="E29" s="5">
        <v>622</v>
      </c>
      <c r="F29" s="5">
        <v>622</v>
      </c>
      <c r="G29" s="5">
        <v>572</v>
      </c>
      <c r="H29" s="5">
        <v>567</v>
      </c>
    </row>
    <row r="30" spans="1:8" x14ac:dyDescent="0.2">
      <c r="A30" s="3" t="s">
        <v>37</v>
      </c>
      <c r="B30" s="4" t="s">
        <v>58</v>
      </c>
      <c r="C30" s="4" t="s">
        <v>58</v>
      </c>
      <c r="D30" s="5">
        <v>94</v>
      </c>
      <c r="E30" s="5">
        <v>49</v>
      </c>
      <c r="F30" s="5">
        <v>183</v>
      </c>
      <c r="G30" s="5">
        <v>159</v>
      </c>
      <c r="H30" s="5">
        <v>127</v>
      </c>
    </row>
    <row r="31" spans="1:8" x14ac:dyDescent="0.2">
      <c r="A31" s="3" t="s">
        <v>38</v>
      </c>
      <c r="B31" s="4" t="s">
        <v>58</v>
      </c>
      <c r="C31" s="5">
        <v>2265</v>
      </c>
      <c r="D31" s="5">
        <v>2223</v>
      </c>
      <c r="E31" s="5">
        <v>2190</v>
      </c>
      <c r="F31" s="5">
        <v>2228</v>
      </c>
      <c r="G31" s="5">
        <v>2240</v>
      </c>
      <c r="H31" s="5">
        <v>2360</v>
      </c>
    </row>
    <row r="32" spans="1:8" x14ac:dyDescent="0.2">
      <c r="A32" s="3" t="s">
        <v>39</v>
      </c>
      <c r="B32" s="4" t="s">
        <v>58</v>
      </c>
      <c r="C32" s="5">
        <v>0</v>
      </c>
      <c r="D32" s="5">
        <v>1</v>
      </c>
      <c r="E32" s="5">
        <v>0</v>
      </c>
      <c r="F32" s="5">
        <v>1</v>
      </c>
      <c r="G32" s="5">
        <v>1</v>
      </c>
      <c r="H32" s="5">
        <v>1</v>
      </c>
    </row>
    <row r="33" spans="1:8" x14ac:dyDescent="0.2">
      <c r="A33" s="3" t="s">
        <v>40</v>
      </c>
      <c r="B33" s="4" t="s">
        <v>58</v>
      </c>
      <c r="C33" s="4" t="s">
        <v>58</v>
      </c>
      <c r="D33" s="4" t="s">
        <v>58</v>
      </c>
      <c r="E33" s="5">
        <v>2843</v>
      </c>
      <c r="F33" s="5">
        <v>3230</v>
      </c>
      <c r="G33" s="5">
        <v>3119</v>
      </c>
      <c r="H33" s="5">
        <v>3119</v>
      </c>
    </row>
    <row r="34" spans="1:8" x14ac:dyDescent="0.2">
      <c r="A34" s="3" t="s">
        <v>41</v>
      </c>
      <c r="B34" s="4" t="s">
        <v>58</v>
      </c>
      <c r="C34" s="5">
        <v>4493</v>
      </c>
      <c r="D34" s="5">
        <v>4183</v>
      </c>
      <c r="E34" s="5">
        <v>3941</v>
      </c>
      <c r="F34" s="5">
        <v>3900</v>
      </c>
      <c r="G34" s="5">
        <v>3764</v>
      </c>
      <c r="H34" s="5">
        <v>3683</v>
      </c>
    </row>
    <row r="35" spans="1:8" x14ac:dyDescent="0.2">
      <c r="A35" s="3" t="s">
        <v>42</v>
      </c>
      <c r="B35" s="4" t="s">
        <v>58</v>
      </c>
      <c r="C35" s="4" t="s">
        <v>58</v>
      </c>
      <c r="D35" s="5">
        <v>17843</v>
      </c>
      <c r="E35" s="5">
        <v>17860</v>
      </c>
      <c r="F35" s="5">
        <v>17768</v>
      </c>
      <c r="G35" s="5">
        <v>10042</v>
      </c>
      <c r="H35" s="5">
        <v>8361</v>
      </c>
    </row>
    <row r="36" spans="1:8" x14ac:dyDescent="0.2">
      <c r="A36" s="3" t="s">
        <v>43</v>
      </c>
      <c r="B36" s="4" t="s">
        <v>58</v>
      </c>
      <c r="C36" s="5">
        <v>4575</v>
      </c>
      <c r="D36" s="5">
        <v>4960</v>
      </c>
      <c r="E36" s="5">
        <v>4467</v>
      </c>
      <c r="F36" s="5">
        <v>4542</v>
      </c>
      <c r="G36" s="5">
        <v>4891</v>
      </c>
      <c r="H36" s="5">
        <v>5186</v>
      </c>
    </row>
    <row r="37" spans="1:8" x14ac:dyDescent="0.2">
      <c r="A37" s="3" t="s">
        <v>44</v>
      </c>
      <c r="B37" s="4" t="s">
        <v>58</v>
      </c>
      <c r="C37" s="4" t="s">
        <v>58</v>
      </c>
      <c r="D37" s="4" t="s">
        <v>58</v>
      </c>
      <c r="E37" s="5">
        <v>5348</v>
      </c>
      <c r="F37" s="5">
        <v>5018</v>
      </c>
      <c r="G37" s="5">
        <v>4793</v>
      </c>
      <c r="H37" s="5">
        <v>4842</v>
      </c>
    </row>
    <row r="38" spans="1:8" x14ac:dyDescent="0.2">
      <c r="A38" s="3" t="s">
        <v>45</v>
      </c>
      <c r="B38" s="4" t="s">
        <v>58</v>
      </c>
      <c r="C38" s="4" t="s">
        <v>58</v>
      </c>
      <c r="D38" s="5">
        <v>566</v>
      </c>
      <c r="E38" s="5">
        <v>586</v>
      </c>
      <c r="F38" s="5">
        <v>567</v>
      </c>
      <c r="G38" s="5">
        <v>792</v>
      </c>
      <c r="H38" s="5">
        <v>821</v>
      </c>
    </row>
    <row r="39" spans="1:8" x14ac:dyDescent="0.2">
      <c r="A39" s="3" t="s">
        <v>46</v>
      </c>
      <c r="B39" s="4" t="s">
        <v>58</v>
      </c>
      <c r="C39" s="5">
        <v>2388</v>
      </c>
      <c r="D39" s="5">
        <v>2171</v>
      </c>
      <c r="E39" s="5">
        <v>1954</v>
      </c>
      <c r="F39" s="5">
        <v>1856</v>
      </c>
      <c r="G39" s="5">
        <v>1736</v>
      </c>
      <c r="H39" s="5">
        <v>1805</v>
      </c>
    </row>
    <row r="40" spans="1:8" x14ac:dyDescent="0.2">
      <c r="A40" s="3" t="s">
        <v>47</v>
      </c>
      <c r="B40" s="4" t="s">
        <v>58</v>
      </c>
      <c r="C40" s="5">
        <v>1792</v>
      </c>
      <c r="D40" s="5">
        <v>1712</v>
      </c>
      <c r="E40" s="5">
        <v>1597</v>
      </c>
      <c r="F40" s="5">
        <v>1598</v>
      </c>
      <c r="G40" s="5">
        <v>1563</v>
      </c>
      <c r="H40" s="5">
        <v>1709</v>
      </c>
    </row>
    <row r="41" spans="1:8" x14ac:dyDescent="0.2">
      <c r="A41" s="3" t="s">
        <v>48</v>
      </c>
      <c r="B41" s="4" t="s">
        <v>58</v>
      </c>
      <c r="C41" s="4" t="s">
        <v>58</v>
      </c>
      <c r="D41" s="4" t="s">
        <v>58</v>
      </c>
      <c r="E41" s="5">
        <v>3144</v>
      </c>
      <c r="F41" s="5">
        <v>2958</v>
      </c>
      <c r="G41" s="5">
        <v>2992</v>
      </c>
      <c r="H41" s="5">
        <v>3107</v>
      </c>
    </row>
    <row r="42" spans="1:8" x14ac:dyDescent="0.2">
      <c r="A42" s="3" t="s">
        <v>49</v>
      </c>
      <c r="B42" s="4" t="s">
        <v>58</v>
      </c>
      <c r="C42" s="5">
        <v>34527</v>
      </c>
      <c r="D42" s="5">
        <v>36167</v>
      </c>
      <c r="E42" s="5">
        <v>35803</v>
      </c>
      <c r="F42" s="5">
        <v>35391</v>
      </c>
      <c r="G42" s="5">
        <v>34755</v>
      </c>
      <c r="H42" s="5">
        <v>35461</v>
      </c>
    </row>
    <row r="43" spans="1:8" x14ac:dyDescent="0.2">
      <c r="A43" s="3" t="s">
        <v>50</v>
      </c>
      <c r="B43" s="4" t="s">
        <v>58</v>
      </c>
      <c r="C43" s="5">
        <v>110</v>
      </c>
      <c r="D43" s="5">
        <v>127</v>
      </c>
      <c r="E43" s="5">
        <v>121</v>
      </c>
      <c r="F43" s="5">
        <v>104</v>
      </c>
      <c r="G43" s="5">
        <v>124</v>
      </c>
      <c r="H43" s="5">
        <v>168</v>
      </c>
    </row>
    <row r="44" spans="1:8" x14ac:dyDescent="0.2">
      <c r="A44" s="3" t="s">
        <v>51</v>
      </c>
      <c r="B44" s="4" t="s">
        <v>58</v>
      </c>
      <c r="C44" s="4" t="s">
        <v>58</v>
      </c>
      <c r="D44" s="4" t="s">
        <v>58</v>
      </c>
      <c r="E44" s="5">
        <v>96</v>
      </c>
      <c r="F44" s="5">
        <v>33</v>
      </c>
      <c r="G44" s="4" t="s">
        <v>58</v>
      </c>
      <c r="H44" s="5">
        <v>25</v>
      </c>
    </row>
    <row r="45" spans="1:8" x14ac:dyDescent="0.2">
      <c r="A45" s="3" t="s">
        <v>52</v>
      </c>
      <c r="B45" s="4" t="s">
        <v>58</v>
      </c>
      <c r="C45" s="4" t="s">
        <v>58</v>
      </c>
      <c r="D45" s="5">
        <v>1793</v>
      </c>
      <c r="E45" s="5">
        <v>1774</v>
      </c>
      <c r="F45" s="5">
        <v>1902</v>
      </c>
      <c r="G45" s="5">
        <v>1985</v>
      </c>
      <c r="H45" s="5">
        <v>2051</v>
      </c>
    </row>
    <row r="46" spans="1:8" x14ac:dyDescent="0.2">
      <c r="A46" s="3" t="s">
        <v>53</v>
      </c>
      <c r="B46" s="4" t="s">
        <v>58</v>
      </c>
      <c r="C46" s="5">
        <v>5277</v>
      </c>
      <c r="D46" s="5">
        <v>5287</v>
      </c>
      <c r="E46" s="5">
        <v>5314</v>
      </c>
      <c r="F46" s="5">
        <v>5245</v>
      </c>
      <c r="G46" s="5">
        <v>5353</v>
      </c>
      <c r="H46" s="5">
        <v>5504</v>
      </c>
    </row>
    <row r="47" spans="1:8" x14ac:dyDescent="0.2">
      <c r="A47" s="3" t="s">
        <v>54</v>
      </c>
      <c r="B47" s="4" t="s">
        <v>58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58</v>
      </c>
    </row>
    <row r="48" spans="1:8" x14ac:dyDescent="0.2">
      <c r="A48" s="3" t="s">
        <v>55</v>
      </c>
      <c r="B48" s="4" t="s">
        <v>58</v>
      </c>
      <c r="C48" s="4" t="s">
        <v>58</v>
      </c>
      <c r="D48" s="5">
        <v>131</v>
      </c>
      <c r="E48" s="5">
        <v>293</v>
      </c>
      <c r="F48" s="5">
        <v>428</v>
      </c>
      <c r="G48" s="5">
        <v>446</v>
      </c>
      <c r="H48" s="5">
        <v>402</v>
      </c>
    </row>
    <row r="49" spans="1:8" x14ac:dyDescent="0.2">
      <c r="A49" s="3" t="s">
        <v>56</v>
      </c>
      <c r="B49" s="4" t="s">
        <v>58</v>
      </c>
      <c r="C49" s="4" t="s">
        <v>58</v>
      </c>
      <c r="D49" s="4" t="s">
        <v>58</v>
      </c>
      <c r="E49" s="4" t="s">
        <v>58</v>
      </c>
      <c r="F49" s="5">
        <v>2259</v>
      </c>
      <c r="G49" s="5">
        <v>2640</v>
      </c>
      <c r="H49" s="5">
        <v>2325</v>
      </c>
    </row>
    <row r="50" spans="1:8" x14ac:dyDescent="0.2">
      <c r="A50" s="3" t="s">
        <v>57</v>
      </c>
      <c r="B50" s="4" t="s">
        <v>58</v>
      </c>
      <c r="C50" s="5">
        <v>18809</v>
      </c>
      <c r="D50" s="5">
        <v>9397</v>
      </c>
      <c r="E50" s="5">
        <v>12200</v>
      </c>
      <c r="F50" s="5">
        <v>14192</v>
      </c>
      <c r="G50" s="5">
        <v>12458</v>
      </c>
      <c r="H50" s="5">
        <v>16773</v>
      </c>
    </row>
    <row r="52" spans="1:8" x14ac:dyDescent="0.2">
      <c r="A52" s="1" t="s">
        <v>59</v>
      </c>
    </row>
    <row r="53" spans="1:8" x14ac:dyDescent="0.2">
      <c r="A53" s="1" t="s">
        <v>58</v>
      </c>
      <c r="B53" s="1" t="s">
        <v>60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23</vt:i4>
      </vt:variant>
    </vt:vector>
  </HeadingPairs>
  <TitlesOfParts>
    <vt:vector size="23" baseType="lpstr">
      <vt:lpstr>General and Vocational _ CZ tre</vt:lpstr>
      <vt:lpstr>Nejnovejsi_po_rocich2</vt:lpstr>
      <vt:lpstr>General vyvoj (2)</vt:lpstr>
      <vt:lpstr>General vyvoj</vt:lpstr>
      <vt:lpstr>Nejnovejsi_po_rocich</vt:lpstr>
      <vt:lpstr>General and Vocational_years</vt:lpstr>
      <vt:lpstr>General and Vocational</vt:lpstr>
      <vt:lpstr>Data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Data10</vt:lpstr>
      <vt:lpstr>Data11</vt:lpstr>
      <vt:lpstr>Data12</vt:lpstr>
      <vt:lpstr>Data13</vt:lpstr>
      <vt:lpstr>Data14</vt:lpstr>
      <vt:lpstr>Data15</vt:lpstr>
      <vt:lpstr>Data16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lau33</dc:creator>
  <cp:lastModifiedBy>lau33</cp:lastModifiedBy>
  <dcterms:created xsi:type="dcterms:W3CDTF">2021-03-16T13:20:32Z</dcterms:created>
  <dcterms:modified xsi:type="dcterms:W3CDTF">2021-03-16T19:36:06Z</dcterms:modified>
</cp:coreProperties>
</file>